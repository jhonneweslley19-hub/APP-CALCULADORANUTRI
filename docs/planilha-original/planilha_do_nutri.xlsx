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DA_LOGS" sheetId="1" r:id="rId5"/>
    <sheet state="visible" name="TABELA_TECNICA" sheetId="2" r:id="rId6"/>
    <sheet state="visible" name="CALCULO_NUTRICIONA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tc={2743ddc8-d3d2-40f3-b2ca-580ae20f5f55}</author>
    <author>tc={3f56ffc3-5c2e-461c-98ea-e29e72ef8b34}</author>
    <author>tc={defdc4a8-1c85-4432-8bb5-bbd1f2be054c}</author>
    <author>tc={f6e25856-d6ef-4576-8624-c2044affacdf}</author>
  </authors>
  <commentList>
    <comment authorId="0" xr:uid="{2743ddc8-d3d2-40f3-b2ca-580ae20f5f55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Que o produtor informa quantas und consegue fazer com o produto
</t>
      </text>
    </comment>
    <comment authorId="1" xr:uid="{3f56ffc3-5c2e-461c-98ea-e29e72ef8b3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célula D18/B17
</t>
      </text>
    </comment>
    <comment authorId="2" xr:uid="{defdc4a8-1c85-4432-8bb5-bbd1f2be054c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Tirado da legislação... Normativa 45 Anexo 5
</t>
      </text>
    </comment>
    <comment authorId="3" xr:uid="{f6e25856-d6ef-4576-8624-c2044affacdf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Colocar a quantidade que vai usar de cada produto
</t>
      </text>
    </comment>
  </commentList>
</comments>
</file>

<file path=xl/sharedStrings.xml><?xml version="1.0" encoding="utf-8"?>
<sst xmlns="http://schemas.openxmlformats.org/spreadsheetml/2006/main" count="481" uniqueCount="238">
  <si>
    <t>Timestamp</t>
  </si>
  <si>
    <t>Ingrediente</t>
  </si>
  <si>
    <t>Ingrediente_original</t>
  </si>
  <si>
    <t>Tradução_EN</t>
  </si>
  <si>
    <t>fdcId</t>
  </si>
  <si>
    <t>Description</t>
  </si>
  <si>
    <t>Nutrientes_JSON</t>
  </si>
  <si>
    <t>Status</t>
  </si>
  <si>
    <t>2025-11-17T15:29:16.592Z</t>
  </si>
  <si>
    <t xml:space="preserve">Extrato de suco de laranja </t>
  </si>
  <si>
    <t>extrato de suco de laranja</t>
  </si>
  <si>
    <t>Quantidade_g_ml</t>
  </si>
  <si>
    <t>Energia_kcal_per100g</t>
  </si>
  <si>
    <t>Carboidratos_g</t>
  </si>
  <si>
    <t>Atole de avena</t>
  </si>
  <si>
    <t>Acucares_totais_g</t>
  </si>
  <si>
    <t>{"energy":83,"carbs":15.46,"protein":1.74,"fat":1.58,"saturatedFat":0.835,"transFat":0,"fiber":0.2,"sodium":18}</t>
  </si>
  <si>
    <t>ok</t>
  </si>
  <si>
    <t>Acucares_adicionados_g</t>
  </si>
  <si>
    <t>2025-11-17T15:46:37.593Z</t>
  </si>
  <si>
    <t>orange</t>
  </si>
  <si>
    <t>Proteinas_g</t>
  </si>
  <si>
    <t>ORANGE</t>
  </si>
  <si>
    <t>Gorduras_totais_g</t>
  </si>
  <si>
    <t>{"energy":381,"carbs":90.5,"protein":4.76,"fat":0,"saturatedFat":0,"transFat":0,"fiber":0,"sodium":381}</t>
  </si>
  <si>
    <t>Gorduras_saturadas_g</t>
  </si>
  <si>
    <t>2025-11-17T16:15:04.955Z</t>
  </si>
  <si>
    <t>Gorduras_trans_g</t>
  </si>
  <si>
    <t>Gorduras_mono_g</t>
  </si>
  <si>
    <t>cache</t>
  </si>
  <si>
    <t>2025-11-17T16:15:06.594Z</t>
  </si>
  <si>
    <t>laranja</t>
  </si>
  <si>
    <t>Gorduras_poly_g</t>
  </si>
  <si>
    <t>2025-11-17T16:15:29.456Z</t>
  </si>
  <si>
    <t>Omega6_g</t>
  </si>
  <si>
    <t>Omega3_g</t>
  </si>
  <si>
    <t>Colesterol_mg</t>
  </si>
  <si>
    <t>Fibra_g</t>
  </si>
  <si>
    <t>2025-11-17T16:15:31.318Z</t>
  </si>
  <si>
    <t>morango</t>
  </si>
  <si>
    <t>strawberry</t>
  </si>
  <si>
    <t>Sodio_mg</t>
  </si>
  <si>
    <t>STRAWBERRY</t>
  </si>
  <si>
    <t>{"energy":50,"carbs":113,"protein":3.33,"fat":0,"saturatedFat":0,"transFat":0,"fiber":10,"sodium":67}</t>
  </si>
  <si>
    <t>Description_USDA</t>
  </si>
  <si>
    <t>2025-11-17T16:26:25.965Z</t>
  </si>
  <si>
    <t>strawberries, raw</t>
  </si>
  <si>
    <t>Strawberries, raw</t>
  </si>
  <si>
    <t>{"energy":36,"carbs":7.96,"protein":0.64,"fat":0.22,"saturatedFat":0,"transFat":0,"fiber":1.8,"sodium":0}</t>
  </si>
  <si>
    <t>blackberries, raw</t>
  </si>
  <si>
    <t>2025-11-17T16:57:54.152Z</t>
  </si>
  <si>
    <t>2025-11-17T16:58:40.353Z</t>
  </si>
  <si>
    <t>2025-11-17T17:00:08.789Z</t>
  </si>
  <si>
    <t>2025-11-17T17:00:10.404Z</t>
  </si>
  <si>
    <t>morango, raw</t>
  </si>
  <si>
    <t>Apple, raw</t>
  </si>
  <si>
    <t>{"energy":61,"carbs":14.8,"protein":0.17,"fat":0.15,"saturatedFat":0.028,"transFat":0,"fiber":2.1,"sodium":0}</t>
  </si>
  <si>
    <t>2025-11-17T17:00:32.009Z</t>
  </si>
  <si>
    <t>Blackberries, raw</t>
  </si>
  <si>
    <t>açúcar cristal</t>
  </si>
  <si>
    <t>2025-11-17T17:00:33.818Z</t>
  </si>
  <si>
    <t>morango, cru</t>
  </si>
  <si>
    <t>GRAND CRU OLIVE OIL</t>
  </si>
  <si>
    <t>{"energy":800,"carbs":0,"protein":0,"fat":93.3,"saturatedFat":13.3,"transFat":0,"fiber":0,"sodium":0}</t>
  </si>
  <si>
    <t>2025-11-17T17:01:00.566Z</t>
  </si>
  <si>
    <t>2025-11-17T17:01:02.167Z</t>
  </si>
  <si>
    <t>Morangos, crus</t>
  </si>
  <si>
    <t>morangos, crus</t>
  </si>
  <si>
    <t>Suco de limão</t>
  </si>
  <si>
    <t>2025-11-17T17:21:29.914Z</t>
  </si>
  <si>
    <t>Laranja</t>
  </si>
  <si>
    <t>2025-11-17T17:22:33.107Z</t>
  </si>
  <si>
    <t>Oranges, raw, navels</t>
  </si>
  <si>
    <t>oranges, raw, navels</t>
  </si>
  <si>
    <t>{"energy":47,"carbs":11.8,"protein":0.91,"fat":0.15,"saturatedFat":0,"transFat":0,"fiber":2,"sodium":9}</t>
  </si>
  <si>
    <t>2025-11-17T17:28:47.181Z</t>
  </si>
  <si>
    <t>2025-11-17T17:29:50.394Z</t>
  </si>
  <si>
    <t>2025-11-17T17:30:24.215Z</t>
  </si>
  <si>
    <t>2025-11-17T17:31:43.531Z</t>
  </si>
  <si>
    <t>Oranges, raw</t>
  </si>
  <si>
    <t>oranges, raw</t>
  </si>
  <si>
    <t>2025-11-17T19:34:13.108Z</t>
  </si>
  <si>
    <t>2025-11-17T19:34:14.495Z</t>
  </si>
  <si>
    <t>TOTAL_RECEITA</t>
  </si>
  <si>
    <t>total_receita</t>
  </si>
  <si>
    <t>{"message":"no_results"}</t>
  </si>
  <si>
    <t>no_result</t>
  </si>
  <si>
    <t>2025-11-17T19:48:04.303Z</t>
  </si>
  <si>
    <t>2025-11-17T19:48:05.854Z</t>
  </si>
  <si>
    <t>aplle</t>
  </si>
  <si>
    <t>SNACKS, CINNAMON APLLE</t>
  </si>
  <si>
    <t>{"energy":400,"carbs":90,"added_sugars":0,"protein":0,"fat":0,"saturatedFat":0,"transFat":0,"monounsaturated":0,"polyunsaturated":0,"omega6":0,"omega3":0,"cholesterol":0,"fiber":10}</t>
  </si>
  <si>
    <t>2025-11-17T19:48:07.411Z</t>
  </si>
  <si>
    <t>2025-11-17T19:48:28.745Z</t>
  </si>
  <si>
    <t>2025-11-17T19:48:30.614Z</t>
  </si>
  <si>
    <t>aplle, raw</t>
  </si>
  <si>
    <t>{"energy":61,"carbs":14.8,"added_sugars":0,"protein":0.17,"fat":0.15,"saturatedFat":0.03,"transFat":0,"monounsaturated":0.01,"polyunsaturated":0.05,"omega6":0,"omega3":0,"cholesterol":0,"fiber":2.1}</t>
  </si>
  <si>
    <t>2025-11-17T19:48:32.521Z</t>
  </si>
  <si>
    <t>2025-11-17T20:25:55.744Z</t>
  </si>
  <si>
    <t>2025-11-17T20:25:56.600Z</t>
  </si>
  <si>
    <t>2025-11-17T20:25:59.429Z</t>
  </si>
  <si>
    <t>SUco laranja integral</t>
  </si>
  <si>
    <t>suco laranja integral</t>
  </si>
  <si>
    <t>INTEGRAL CRACKERS</t>
  </si>
  <si>
    <t>{"energy":452,"carbs":61.3,"added_sugars":0,"protein":9.68,"fat":16.1,"saturatedFat":8.06,"transFat":0,"monounsaturated":6.45,"polyunsaturated":0,"omega6":0,"omega3":0,"cholesterol":0,"fiber":3.2}</t>
  </si>
  <si>
    <t>2025-11-18T23:09:33.404Z</t>
  </si>
  <si>
    <t>2025-11-18T23:27:13.087Z</t>
  </si>
  <si>
    <t>2025-11-18T23:28:03.148Z</t>
  </si>
  <si>
    <t>2025-11-18T23:28:20.356Z</t>
  </si>
  <si>
    <t>2025-11-19T00:37:42.963Z</t>
  </si>
  <si>
    <t>2025-11-19T00:37:44.902Z</t>
  </si>
  <si>
    <t>APPLE, RAW</t>
  </si>
  <si>
    <t>apple, raw</t>
  </si>
  <si>
    <t>{"energy":61,"carbs":14.8,"total_sugars":12.08,"added_sugars":0,"protein":0.17,"fat":0.15,"saturatedFat":0.03,"transFat":0,"monounsaturated":0.01,"polyunsaturated":0.05,"omega6":0,"omega3":0,"cholesterol":0,"fiber":2.1}</t>
  </si>
  <si>
    <t>2025-11-20T03:35:51.617Z</t>
  </si>
  <si>
    <t>maça, crua</t>
  </si>
  <si>
    <t>maca, crua</t>
  </si>
  <si>
    <t>MACA FLOUR, MACA</t>
  </si>
  <si>
    <t>{"energy":310,"carbs":70,"total_sugars":0,"added_sugars":0,"protein":10,"fat":0,"saturatedFat":0,"transFat":0,"monounsaturated":0,"polyunsaturated":0,"omega6":0,"omega3":0,"cholesterol":0,"fiber":20}</t>
  </si>
  <si>
    <t>2025-11-20T03:36:08.641Z</t>
  </si>
  <si>
    <t>maça</t>
  </si>
  <si>
    <t>apple</t>
  </si>
  <si>
    <t>2025-11-20T03:37:54.096Z</t>
  </si>
  <si>
    <t>{"energy":43,"carbs":9.61,"total_sugars":4.88,"added_sugars":0,"protein":1.39,"fat":0.49,"saturatedFat":0.01,"transFat":0,"monounsaturated":0.05,"polyunsaturated":0.28,"omega6":0,"omega3":0,"cholesterol":0,"fiber":5.3}</t>
  </si>
  <si>
    <t>2025-11-20T03:38:44.590Z</t>
  </si>
  <si>
    <t>2025-11-20T03:38:46.334Z</t>
  </si>
  <si>
    <t>acucar cristal</t>
  </si>
  <si>
    <t>HONEY + AJI CRISTAL</t>
  </si>
  <si>
    <t>{"energy":321,"carbs":85.7,"total_sugars":85.7,"added_sugars":0,"protein":0,"fat":0,"saturatedFat":0,"transFat":0,"monounsaturated":0,"polyunsaturated":0,"omega6":0,"omega3":0,"cholesterol":0,"fiber":0}</t>
  </si>
  <si>
    <t>2025-11-20T03:38:47.933Z</t>
  </si>
  <si>
    <t>suco de limao</t>
  </si>
  <si>
    <t>Dulce de leche</t>
  </si>
  <si>
    <t>{"energy":315,"carbs":55.35,"total_sugars":49.74,"added_sugars":0,"protein":6.84,"fat":7.35,"saturatedFat":4.53,"transFat":0,"monounsaturated":2.14,"polyunsaturated":0.38,"omega6":0,"omega3":0,"cholesterol":29,"fiber":0}</t>
  </si>
  <si>
    <t>2025-11-20T03:56:41.421Z</t>
  </si>
  <si>
    <t>2025-11-20T03:56:42.240Z</t>
  </si>
  <si>
    <t>2025-11-20T03:56:43.131Z</t>
  </si>
  <si>
    <t>2025-11-20T03:57:23.766Z</t>
  </si>
  <si>
    <t>Produção</t>
  </si>
  <si>
    <t>Rendimento</t>
  </si>
  <si>
    <t>Porcao_g</t>
  </si>
  <si>
    <t>potes</t>
  </si>
  <si>
    <t>Total de Porcao und</t>
  </si>
  <si>
    <t>g</t>
  </si>
  <si>
    <t>Valor calorico porção</t>
  </si>
  <si>
    <t>Valor calorico 100g</t>
  </si>
  <si>
    <t>INFORMAÇÃO NUTRICIONAL</t>
  </si>
  <si>
    <t>NOME DO PRODUTO: ____________________________</t>
  </si>
  <si>
    <t>Porções por embalagem</t>
  </si>
  <si>
    <t>Descrição</t>
  </si>
  <si>
    <t>100 g</t>
  </si>
  <si>
    <t>Porção</t>
  </si>
  <si>
    <t>%VD</t>
  </si>
  <si>
    <t>Valor energético (kcal)</t>
  </si>
  <si>
    <t>Carboidratos (g)</t>
  </si>
  <si>
    <t>Açúcares totais (g)</t>
  </si>
  <si>
    <t>Açúcares adicionados (g)</t>
  </si>
  <si>
    <t>Proteínas (g)</t>
  </si>
  <si>
    <t>Gorduras totais (g)</t>
  </si>
  <si>
    <t>Gorduras saturadas (g)</t>
  </si>
  <si>
    <t>Gorduras trans (g)</t>
  </si>
  <si>
    <t>Fibras alimentares (g)</t>
  </si>
  <si>
    <t>Sódio (mg)</t>
  </si>
  <si>
    <t>*%VD baseada em uma dieta de 2.000 kcal. Informação para fins de rotulagem. Verifique legislações vigentes (IN 75/2020, RDC 429/2020).</t>
  </si>
  <si>
    <t xml:space="preserve">REFERENCIA </t>
  </si>
  <si>
    <t>IN 75/2020</t>
  </si>
  <si>
    <t>Constituintes</t>
  </si>
  <si>
    <t>VDR (unidade)</t>
  </si>
  <si>
    <t>Valor energético</t>
  </si>
  <si>
    <t>2.000</t>
  </si>
  <si>
    <t>kcal</t>
  </si>
  <si>
    <t>Carboidratos</t>
  </si>
  <si>
    <t>300</t>
  </si>
  <si>
    <t>Açúcares adicionados</t>
  </si>
  <si>
    <t>50</t>
  </si>
  <si>
    <t>Proteínas</t>
  </si>
  <si>
    <t>Gorduras totais</t>
  </si>
  <si>
    <t>65</t>
  </si>
  <si>
    <t>Gorduras saturadas</t>
  </si>
  <si>
    <t>20</t>
  </si>
  <si>
    <t>Gorduras trans</t>
  </si>
  <si>
    <t>Gorduras monoinsaturadas</t>
  </si>
  <si>
    <t>Gorduras poli-insaturadas</t>
  </si>
  <si>
    <t>Ômega 6</t>
  </si>
  <si>
    <t>18</t>
  </si>
  <si>
    <t>Ômega 3</t>
  </si>
  <si>
    <t>4.000</t>
  </si>
  <si>
    <t>mg</t>
  </si>
  <si>
    <t>Colesterol</t>
  </si>
  <si>
    <t>Fibras alimentares</t>
  </si>
  <si>
    <t>25</t>
  </si>
  <si>
    <t>Sódio</t>
  </si>
  <si>
    <t>Vitamina A</t>
  </si>
  <si>
    <t>800</t>
  </si>
  <si>
    <t>Vitamina D</t>
  </si>
  <si>
    <t>15</t>
  </si>
  <si>
    <t>Vitamina E</t>
  </si>
  <si>
    <t>Vitamina K</t>
  </si>
  <si>
    <t>120</t>
  </si>
  <si>
    <t>Vitamina C</t>
  </si>
  <si>
    <t>100</t>
  </si>
  <si>
    <t>Tiamina</t>
  </si>
  <si>
    <t>Riboflavina</t>
  </si>
  <si>
    <t>Niacina</t>
  </si>
  <si>
    <t>Vitamina B6</t>
  </si>
  <si>
    <t>Biotina</t>
  </si>
  <si>
    <t>30</t>
  </si>
  <si>
    <t>Ácido fólico</t>
  </si>
  <si>
    <t>400</t>
  </si>
  <si>
    <t>Ácido pantotênico</t>
  </si>
  <si>
    <t>Vitamina B12</t>
  </si>
  <si>
    <t>Cálcio</t>
  </si>
  <si>
    <t>1.000</t>
  </si>
  <si>
    <t>Cloreto</t>
  </si>
  <si>
    <t>2.300</t>
  </si>
  <si>
    <t>Cobre</t>
  </si>
  <si>
    <t>900</t>
  </si>
  <si>
    <t>Cromo</t>
  </si>
  <si>
    <t>35</t>
  </si>
  <si>
    <t>Ferro</t>
  </si>
  <si>
    <t>14</t>
  </si>
  <si>
    <t>Flúor</t>
  </si>
  <si>
    <t>Fósforo</t>
  </si>
  <si>
    <t>700</t>
  </si>
  <si>
    <t>Iodo</t>
  </si>
  <si>
    <t>150</t>
  </si>
  <si>
    <t>Magnésio</t>
  </si>
  <si>
    <t>420</t>
  </si>
  <si>
    <t>Manganês</t>
  </si>
  <si>
    <t>Molibdênio</t>
  </si>
  <si>
    <t>45</t>
  </si>
  <si>
    <t>Potássio</t>
  </si>
  <si>
    <t>3.500</t>
  </si>
  <si>
    <t>Selênio</t>
  </si>
  <si>
    <t>60</t>
  </si>
  <si>
    <t>Zinco</t>
  </si>
  <si>
    <t>11</t>
  </si>
  <si>
    <t>Colina</t>
  </si>
  <si>
    <t>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</si>
</sst>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  <scheme val="minor"/>
    </font>
    <font>
      <sz val="16.0"/>
      <color theme="1"/>
      <name val="&quot;Arial&quot;"/>
    </font>
    <font/>
    <font>
      <sz val="15.0"/>
      <color rgb="FF565A67"/>
      <name val="&quot;Arial&quot;"/>
    </font>
    <font>
      <b/>
      <sz val="22.0"/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8.0"/>
      <color theme="1"/>
      <name val="Calibri"/>
      <scheme val="minor"/>
    </font>
    <font>
      <color rgb="FF162937"/>
      <name val="Rawline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vertical="top"/>
    </xf>
    <xf borderId="1" fillId="2" fontId="2" numFmtId="0" xfId="0" applyAlignment="1" applyBorder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top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1" numFmtId="0" xfId="0" applyAlignment="1" applyFill="1" applyFont="1">
      <alignment readingOrder="0"/>
    </xf>
    <xf borderId="2" fillId="2" fontId="2" numFmtId="0" xfId="0" applyAlignment="1" applyBorder="1" applyFill="1" applyFont="1">
      <alignment readingOrder="0"/>
    </xf>
    <xf borderId="0" fillId="0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readingOrder="0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readingOrder="0" vertical="bottom"/>
    </xf>
    <xf borderId="0" fillId="0" fontId="1" numFmtId="2" xfId="0" applyFont="1" applyNumberFormat="1"/>
    <xf borderId="3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" xfId="0" applyFont="1" applyNumberFormat="1"/>
    <xf borderId="0" fillId="0" fontId="5" numFmtId="0" xfId="0" applyFont="1"/>
    <xf borderId="4" fillId="0" fontId="1" numFmtId="0" xfId="0" applyAlignment="1" applyBorder="1" applyFont="1">
      <alignment horizontal="center"/>
    </xf>
    <xf borderId="3" fillId="4" fontId="1" numFmtId="0" xfId="0" applyBorder="1" applyFill="1" applyFont="1"/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4" fillId="4" fontId="1" numFmtId="0" xfId="0" applyAlignment="1" applyBorder="1" applyFill="1" applyFont="1">
      <alignment horizontal="center"/>
    </xf>
    <xf borderId="5" fillId="5" fontId="1" numFmtId="0" xfId="0" applyAlignment="1" applyBorder="1" applyFill="1" applyFont="1">
      <alignment horizontal="center"/>
    </xf>
    <xf borderId="6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horizontal="center" readingOrder="0"/>
    </xf>
    <xf borderId="5" fillId="6" fontId="2" numFmtId="0" xfId="0" applyAlignment="1" applyBorder="1" applyFill="1" applyFont="1">
      <alignment horizontal="center" readingOrder="0"/>
    </xf>
    <xf borderId="2" fillId="0" fontId="6" numFmtId="0" xfId="0" applyBorder="1" applyFont="1"/>
    <xf borderId="0" fillId="7" fontId="7" numFmtId="0" xfId="0" applyAlignment="1" applyFill="1" applyFont="1">
      <alignment readingOrder="0"/>
    </xf>
    <xf borderId="1" fillId="6" fontId="1" numFmtId="0" xfId="0" applyBorder="1" applyFill="1" applyFont="1"/>
    <xf borderId="1" fillId="6" fontId="1" numFmtId="0" xfId="0" applyAlignment="1" applyBorder="1" applyFill="1" applyFont="1">
      <alignment horizontal="center"/>
    </xf>
    <xf borderId="7" fillId="6" fontId="1" numFmtId="0" xfId="0" applyAlignment="1" applyBorder="1" applyFill="1" applyFont="1">
      <alignment horizontal="center" readingOrder="0" vertical="center"/>
    </xf>
    <xf borderId="0" fillId="8" fontId="1" numFmtId="0" xfId="0" applyAlignment="1" applyFill="1" applyFont="1">
      <alignment horizontal="left" readingOrder="0"/>
    </xf>
    <xf borderId="8" fillId="0" fontId="6" numFmtId="0" xfId="0" applyBorder="1" applyFont="1"/>
    <xf borderId="1" fillId="6" fontId="1" numFmtId="2" xfId="0" applyAlignment="1" applyBorder="1" applyFill="1" applyFont="1" applyNumberFormat="1">
      <alignment horizontal="center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9" fillId="0" fontId="9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" fillId="8" fontId="1" numFmtId="0" xfId="0" applyAlignment="1" applyBorder="1" applyFill="1" applyFont="1">
      <alignment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7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left"/>
    </xf>
    <xf borderId="1" fillId="0" fontId="3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horizontal="center" vertical="bottom"/>
    </xf>
    <xf borderId="1" fillId="8" fontId="9" numFmtId="0" xfId="0" applyAlignment="1" applyBorder="1" applyFill="1" applyFont="1">
      <alignment horizontal="left"/>
    </xf>
    <xf borderId="1" fillId="0" fontId="1" numFmtId="1" xfId="0" applyAlignment="1" applyBorder="1" applyFont="1" applyNumberFormat="1">
      <alignment horizontal="center"/>
    </xf>
    <xf borderId="1" fillId="0" fontId="3" numFmtId="1" xfId="0" applyAlignment="1" applyBorder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15" fillId="7" fontId="12" numFmtId="0" xfId="0" applyAlignment="1" applyBorder="1" applyFill="1" applyFont="1">
      <alignment horizontal="center" readingOrder="0"/>
    </xf>
    <xf borderId="16" fillId="7" fontId="12" numFmtId="0" xfId="0" applyAlignment="1" applyBorder="1" applyFill="1" applyFont="1">
      <alignment horizontal="center" readingOrder="0"/>
    </xf>
    <xf borderId="11" fillId="0" fontId="1" numFmtId="0" xfId="0" applyAlignment="1" applyBorder="1" applyFont="1">
      <alignment horizontal="center"/>
    </xf>
    <xf borderId="17" fillId="7" fontId="12" numFmtId="0" xfId="0" applyAlignment="1" applyBorder="1" applyFill="1" applyFont="1">
      <alignment horizontal="center" readingOrder="0"/>
    </xf>
    <xf borderId="18" fillId="7" fontId="12" numFmtId="0" xfId="0" applyAlignment="1" applyBorder="1" applyFill="1" applyFont="1">
      <alignment horizontal="center" readingOrder="0"/>
    </xf>
    <xf borderId="0" fillId="8" fontId="13" numFmtId="0" xfId="0" applyAlignment="1" applyFill="1" applyFont="1">
      <alignment horizontal="left" readingOrder="0"/>
    </xf>
    <xf borderId="19" fillId="7" fontId="12" numFmtId="0" xfId="0" applyAlignment="1" applyBorder="1" applyFill="1" applyFont="1">
      <alignment horizontal="center" readingOrder="0"/>
    </xf>
    <xf borderId="20" fillId="7" fontId="12" numFmtId="0" xfId="0" applyAlignment="1" applyBorder="1" applyFill="1" applyFont="1">
      <alignment horizontal="center" readingOrder="0"/>
    </xf>
    <xf borderId="14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58</xdr:row>
      <xdr:rowOff>161925</xdr:rowOff>
    </xdr:from>
    <xdr:ext cx="3924300" cy="16192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Jhonne Weslley" id="{e1546ffa-9160-40eb-8e49-179e3d6c9c6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6" dT="2025-11-20T05:18:13.00" personId="{e1546ffa-9160-40eb-8e49-179e3d6c9c69}" id="{2743ddc8-d3d2-40f3-b2ca-580ae20f5f55}" done="0">
    <x18tc:text xml:space="preserve">Que o produtor informa quantas und consegue fazer com o produto</x18tc:text>
  </x18tc:threadedComment>
  <x18tc:threadedComment ref="B1" dT="2025-11-20T05:20:51.00" personId="{e1546ffa-9160-40eb-8e49-179e3d6c9c69}" id="{f6e25856-d6ef-4576-8624-c2044affacdf}" done="0">
    <x18tc:text xml:space="preserve">Colocar a quantidade que vai usar de cada produto</x18tc:text>
  </x18tc:threadedComment>
  <x18tc:threadedComment ref="B25" dT="2025-11-20T05:17:23.00" personId="{e1546ffa-9160-40eb-8e49-179e3d6c9c69}" id="{3f56ffc3-5c2e-461c-98ea-e29e72ef8b34}" done="0">
    <x18tc:text xml:space="preserve">célula D18/B17</x18tc:text>
  </x18tc:threadedComment>
  <x18tc:threadedComment ref="B17" dT="2025-11-20T05:19:37.00" personId="{e1546ffa-9160-40eb-8e49-179e3d6c9c69}" id="{defdc4a8-1c85-4432-8bb5-bbd1f2be054c}" done="0">
    <x18tc:text xml:space="preserve">Tirado da legislação... Normativa 45 Anexo 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3.57"/>
    <col customWidth="1" min="3" max="3" width="23.14"/>
    <col customWidth="1" min="4" max="4" width="8.57"/>
    <col customWidth="1" min="5" max="5" width="20.29"/>
    <col customWidth="1" min="6" max="6" width="95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>
      <c r="A2" s="1" t="s">
        <v>8</v>
      </c>
      <c r="B2" s="1" t="s">
        <v>9</v>
      </c>
      <c r="C2" s="1" t="s">
        <v>10</v>
      </c>
      <c r="D2" s="6">
        <v>2710605.0</v>
      </c>
      <c r="E2" s="1" t="s">
        <v>14</v>
      </c>
      <c r="F2" s="1" t="s">
        <v>16</v>
      </c>
      <c r="G2" s="1" t="s">
        <v>17</v>
      </c>
    </row>
    <row r="3">
      <c r="A3" s="1" t="s">
        <v>19</v>
      </c>
      <c r="B3" s="1" t="s">
        <v>20</v>
      </c>
      <c r="C3" s="1" t="s">
        <v>20</v>
      </c>
      <c r="D3" s="6">
        <v>1864680.0</v>
      </c>
      <c r="E3" s="1" t="s">
        <v>22</v>
      </c>
      <c r="F3" s="1" t="s">
        <v>24</v>
      </c>
      <c r="G3" s="1" t="s">
        <v>17</v>
      </c>
    </row>
    <row r="4">
      <c r="A4" s="1" t="s">
        <v>26</v>
      </c>
      <c r="B4" s="1" t="s">
        <v>20</v>
      </c>
      <c r="C4" s="1" t="s">
        <v>20</v>
      </c>
      <c r="D4" s="6">
        <v>1864680.0</v>
      </c>
      <c r="E4" s="1" t="s">
        <v>22</v>
      </c>
      <c r="F4" s="1" t="s">
        <v>24</v>
      </c>
      <c r="G4" s="1" t="s">
        <v>29</v>
      </c>
    </row>
    <row r="5">
      <c r="A5" s="1" t="s">
        <v>30</v>
      </c>
      <c r="B5" s="1" t="s">
        <v>31</v>
      </c>
      <c r="C5" s="1" t="s">
        <v>20</v>
      </c>
      <c r="D5" s="6">
        <v>1864680.0</v>
      </c>
      <c r="E5" s="1" t="s">
        <v>22</v>
      </c>
      <c r="F5" s="1" t="s">
        <v>24</v>
      </c>
      <c r="G5" s="1" t="s">
        <v>17</v>
      </c>
    </row>
    <row r="6">
      <c r="A6" s="1" t="s">
        <v>33</v>
      </c>
      <c r="B6" s="1" t="s">
        <v>20</v>
      </c>
      <c r="C6" s="1" t="s">
        <v>20</v>
      </c>
      <c r="D6" s="6">
        <v>1864680.0</v>
      </c>
      <c r="E6" s="1" t="s">
        <v>22</v>
      </c>
      <c r="F6" s="1" t="s">
        <v>24</v>
      </c>
      <c r="G6" s="1" t="s">
        <v>29</v>
      </c>
    </row>
    <row r="7">
      <c r="A7" s="1" t="s">
        <v>38</v>
      </c>
      <c r="B7" s="1" t="s">
        <v>39</v>
      </c>
      <c r="C7" s="1" t="s">
        <v>40</v>
      </c>
      <c r="D7" s="6">
        <v>2388788.0</v>
      </c>
      <c r="E7" s="1" t="s">
        <v>42</v>
      </c>
      <c r="F7" s="1" t="s">
        <v>43</v>
      </c>
      <c r="G7" s="1" t="s">
        <v>17</v>
      </c>
    </row>
    <row r="8">
      <c r="A8" s="1" t="s">
        <v>45</v>
      </c>
      <c r="B8" s="1" t="s">
        <v>46</v>
      </c>
      <c r="C8" s="1" t="s">
        <v>46</v>
      </c>
      <c r="D8" s="6">
        <v>2709283.0</v>
      </c>
      <c r="E8" s="1" t="s">
        <v>47</v>
      </c>
      <c r="F8" s="1" t="s">
        <v>48</v>
      </c>
      <c r="G8" s="1" t="s">
        <v>17</v>
      </c>
    </row>
    <row r="9">
      <c r="A9" s="1" t="s">
        <v>50</v>
      </c>
      <c r="B9" s="1" t="s">
        <v>39</v>
      </c>
      <c r="C9" s="1" t="s">
        <v>40</v>
      </c>
      <c r="D9" s="6">
        <v>2388788.0</v>
      </c>
      <c r="E9" s="1" t="s">
        <v>42</v>
      </c>
      <c r="F9" s="1" t="s">
        <v>43</v>
      </c>
      <c r="G9" s="1" t="s">
        <v>29</v>
      </c>
    </row>
    <row r="10">
      <c r="A10" s="1" t="s">
        <v>51</v>
      </c>
      <c r="B10" s="1" t="s">
        <v>39</v>
      </c>
      <c r="C10" s="1" t="s">
        <v>40</v>
      </c>
      <c r="D10" s="6">
        <v>2388788.0</v>
      </c>
      <c r="E10" s="1" t="s">
        <v>42</v>
      </c>
      <c r="F10" s="1" t="s">
        <v>43</v>
      </c>
      <c r="G10" s="1" t="s">
        <v>29</v>
      </c>
    </row>
    <row r="11">
      <c r="A11" s="1" t="s">
        <v>52</v>
      </c>
      <c r="B11" s="1" t="s">
        <v>39</v>
      </c>
      <c r="C11" s="1" t="s">
        <v>40</v>
      </c>
      <c r="D11" s="6">
        <v>2388788.0</v>
      </c>
      <c r="E11" s="1" t="s">
        <v>42</v>
      </c>
      <c r="F11" s="1" t="s">
        <v>43</v>
      </c>
      <c r="G11" s="1" t="s">
        <v>29</v>
      </c>
    </row>
    <row r="12">
      <c r="A12" s="1" t="s">
        <v>53</v>
      </c>
      <c r="B12" s="1" t="s">
        <v>54</v>
      </c>
      <c r="C12" s="1" t="s">
        <v>54</v>
      </c>
      <c r="D12" s="6">
        <v>2709215.0</v>
      </c>
      <c r="E12" s="1" t="s">
        <v>55</v>
      </c>
      <c r="F12" s="1" t="s">
        <v>56</v>
      </c>
      <c r="G12" s="1" t="s">
        <v>17</v>
      </c>
    </row>
    <row r="13">
      <c r="A13" s="1" t="s">
        <v>57</v>
      </c>
      <c r="B13" s="1" t="s">
        <v>39</v>
      </c>
      <c r="C13" s="1" t="s">
        <v>40</v>
      </c>
      <c r="D13" s="6">
        <v>2388788.0</v>
      </c>
      <c r="E13" s="1" t="s">
        <v>42</v>
      </c>
      <c r="F13" s="1" t="s">
        <v>43</v>
      </c>
      <c r="G13" s="1" t="s">
        <v>29</v>
      </c>
    </row>
    <row r="14">
      <c r="A14" s="1" t="s">
        <v>60</v>
      </c>
      <c r="B14" s="1" t="s">
        <v>61</v>
      </c>
      <c r="C14" s="1" t="s">
        <v>61</v>
      </c>
      <c r="D14" s="6">
        <v>1959175.0</v>
      </c>
      <c r="E14" s="1" t="s">
        <v>62</v>
      </c>
      <c r="F14" s="1" t="s">
        <v>63</v>
      </c>
      <c r="G14" s="1" t="s">
        <v>17</v>
      </c>
    </row>
    <row r="15">
      <c r="A15" s="1" t="s">
        <v>64</v>
      </c>
      <c r="B15" s="1" t="s">
        <v>39</v>
      </c>
      <c r="C15" s="1" t="s">
        <v>40</v>
      </c>
      <c r="D15" s="6">
        <v>2388788.0</v>
      </c>
      <c r="E15" s="1" t="s">
        <v>42</v>
      </c>
      <c r="F15" s="1" t="s">
        <v>43</v>
      </c>
      <c r="G15" s="1" t="s">
        <v>29</v>
      </c>
    </row>
    <row r="16">
      <c r="A16" s="1" t="s">
        <v>65</v>
      </c>
      <c r="B16" s="1" t="s">
        <v>66</v>
      </c>
      <c r="C16" s="1" t="s">
        <v>67</v>
      </c>
      <c r="D16" s="6">
        <v>1959175.0</v>
      </c>
      <c r="E16" s="1" t="s">
        <v>62</v>
      </c>
      <c r="F16" s="1" t="s">
        <v>63</v>
      </c>
      <c r="G16" s="1" t="s">
        <v>17</v>
      </c>
    </row>
    <row r="17">
      <c r="A17" s="1" t="s">
        <v>69</v>
      </c>
      <c r="B17" s="1" t="s">
        <v>70</v>
      </c>
      <c r="C17" s="1" t="s">
        <v>20</v>
      </c>
      <c r="D17" s="6">
        <v>1864680.0</v>
      </c>
      <c r="E17" s="1" t="s">
        <v>22</v>
      </c>
      <c r="F17" s="1" t="s">
        <v>24</v>
      </c>
      <c r="G17" s="1" t="s">
        <v>29</v>
      </c>
    </row>
    <row r="18">
      <c r="A18" s="1" t="s">
        <v>71</v>
      </c>
      <c r="B18" s="1" t="s">
        <v>72</v>
      </c>
      <c r="C18" s="1" t="s">
        <v>73</v>
      </c>
      <c r="D18" s="6">
        <v>746771.0</v>
      </c>
      <c r="E18" s="1" t="s">
        <v>72</v>
      </c>
      <c r="F18" s="1" t="s">
        <v>74</v>
      </c>
      <c r="G18" s="1" t="s">
        <v>17</v>
      </c>
    </row>
    <row r="19">
      <c r="A19" s="1" t="s">
        <v>75</v>
      </c>
      <c r="B19" s="1" t="s">
        <v>39</v>
      </c>
      <c r="C19" s="1" t="s">
        <v>40</v>
      </c>
      <c r="D19" s="6">
        <v>2388788.0</v>
      </c>
      <c r="E19" s="1" t="s">
        <v>42</v>
      </c>
      <c r="F19" s="1" t="s">
        <v>43</v>
      </c>
      <c r="G19" s="1" t="s">
        <v>29</v>
      </c>
    </row>
    <row r="20">
      <c r="A20" s="1" t="s">
        <v>76</v>
      </c>
      <c r="B20" s="1" t="s">
        <v>39</v>
      </c>
      <c r="C20" s="1" t="s">
        <v>40</v>
      </c>
      <c r="D20" s="6">
        <v>2388788.0</v>
      </c>
      <c r="E20" s="1" t="s">
        <v>42</v>
      </c>
      <c r="F20" s="1" t="s">
        <v>43</v>
      </c>
      <c r="G20" s="1" t="s">
        <v>29</v>
      </c>
    </row>
    <row r="21">
      <c r="A21" s="1" t="s">
        <v>77</v>
      </c>
      <c r="B21" s="1" t="s">
        <v>47</v>
      </c>
      <c r="C21" s="1" t="s">
        <v>46</v>
      </c>
      <c r="D21" s="6">
        <v>2709283.0</v>
      </c>
      <c r="E21" s="1" t="s">
        <v>47</v>
      </c>
      <c r="F21" s="1" t="s">
        <v>48</v>
      </c>
      <c r="G21" s="1" t="s">
        <v>29</v>
      </c>
    </row>
    <row r="22">
      <c r="A22" s="1" t="s">
        <v>78</v>
      </c>
      <c r="B22" s="1" t="s">
        <v>79</v>
      </c>
      <c r="C22" s="1" t="s">
        <v>80</v>
      </c>
      <c r="D22" s="6">
        <v>746771.0</v>
      </c>
      <c r="E22" s="1" t="s">
        <v>72</v>
      </c>
      <c r="F22" s="1" t="s">
        <v>74</v>
      </c>
      <c r="G22" s="1" t="s">
        <v>17</v>
      </c>
    </row>
    <row r="23">
      <c r="A23" s="1" t="s">
        <v>81</v>
      </c>
      <c r="B23" s="1" t="s">
        <v>79</v>
      </c>
      <c r="C23" s="1" t="s">
        <v>80</v>
      </c>
      <c r="D23" s="6">
        <v>746771.0</v>
      </c>
      <c r="E23" s="1" t="s">
        <v>72</v>
      </c>
      <c r="F23" s="1" t="s">
        <v>74</v>
      </c>
      <c r="G23" s="1" t="s">
        <v>29</v>
      </c>
    </row>
    <row r="24">
      <c r="A24" s="1" t="s">
        <v>82</v>
      </c>
      <c r="B24" s="1" t="s">
        <v>83</v>
      </c>
      <c r="C24" s="1" t="s">
        <v>84</v>
      </c>
      <c r="I24" s="1" t="s">
        <v>85</v>
      </c>
      <c r="J24" s="1" t="s">
        <v>86</v>
      </c>
    </row>
    <row r="25">
      <c r="A25" s="1" t="s">
        <v>87</v>
      </c>
      <c r="B25" s="1" t="s">
        <v>79</v>
      </c>
      <c r="C25" s="1" t="s">
        <v>80</v>
      </c>
      <c r="D25" s="6">
        <v>746771.0</v>
      </c>
      <c r="E25" s="1" t="s">
        <v>72</v>
      </c>
      <c r="F25" s="1" t="s">
        <v>74</v>
      </c>
      <c r="G25" s="1" t="s">
        <v>29</v>
      </c>
    </row>
    <row r="26">
      <c r="A26" s="1" t="s">
        <v>88</v>
      </c>
      <c r="B26" s="1" t="s">
        <v>89</v>
      </c>
      <c r="C26" s="1" t="s">
        <v>89</v>
      </c>
      <c r="D26" s="6">
        <v>1886250.0</v>
      </c>
      <c r="E26" s="1" t="s">
        <v>90</v>
      </c>
      <c r="F26" s="1" t="s">
        <v>91</v>
      </c>
      <c r="G26" s="1" t="s">
        <v>17</v>
      </c>
    </row>
    <row r="27">
      <c r="A27" s="1" t="s">
        <v>92</v>
      </c>
      <c r="B27" s="1" t="s">
        <v>83</v>
      </c>
      <c r="C27" s="1" t="s">
        <v>84</v>
      </c>
      <c r="I27" s="1" t="s">
        <v>85</v>
      </c>
      <c r="J27" s="1" t="s">
        <v>86</v>
      </c>
    </row>
    <row r="28">
      <c r="A28" s="1" t="s">
        <v>93</v>
      </c>
      <c r="B28" s="1" t="s">
        <v>79</v>
      </c>
      <c r="C28" s="1" t="s">
        <v>80</v>
      </c>
      <c r="D28" s="6">
        <v>746771.0</v>
      </c>
      <c r="E28" s="1" t="s">
        <v>72</v>
      </c>
      <c r="F28" s="1" t="s">
        <v>74</v>
      </c>
      <c r="G28" s="1" t="s">
        <v>29</v>
      </c>
    </row>
    <row r="29">
      <c r="A29" s="1" t="s">
        <v>94</v>
      </c>
      <c r="B29" s="1" t="s">
        <v>95</v>
      </c>
      <c r="C29" s="1" t="s">
        <v>95</v>
      </c>
      <c r="D29" s="6">
        <v>2709215.0</v>
      </c>
      <c r="E29" s="1" t="s">
        <v>55</v>
      </c>
      <c r="F29" s="1" t="s">
        <v>96</v>
      </c>
      <c r="G29" s="1" t="s">
        <v>17</v>
      </c>
    </row>
    <row r="30">
      <c r="A30" s="1" t="s">
        <v>97</v>
      </c>
      <c r="B30" s="1" t="s">
        <v>83</v>
      </c>
      <c r="C30" s="1" t="s">
        <v>84</v>
      </c>
      <c r="I30" s="1" t="s">
        <v>85</v>
      </c>
      <c r="J30" s="1" t="s">
        <v>86</v>
      </c>
    </row>
    <row r="31">
      <c r="A31" s="1" t="s">
        <v>98</v>
      </c>
      <c r="B31" s="1" t="s">
        <v>79</v>
      </c>
      <c r="C31" s="1" t="s">
        <v>80</v>
      </c>
      <c r="D31" s="6">
        <v>746771.0</v>
      </c>
      <c r="E31" s="1" t="s">
        <v>72</v>
      </c>
      <c r="F31" s="1" t="s">
        <v>74</v>
      </c>
      <c r="G31" s="1" t="s">
        <v>29</v>
      </c>
    </row>
    <row r="32">
      <c r="A32" s="1" t="s">
        <v>99</v>
      </c>
      <c r="B32" s="1" t="s">
        <v>95</v>
      </c>
      <c r="C32" s="1" t="s">
        <v>95</v>
      </c>
      <c r="D32" s="6">
        <v>2709215.0</v>
      </c>
      <c r="E32" s="1" t="s">
        <v>55</v>
      </c>
      <c r="F32" s="1" t="s">
        <v>96</v>
      </c>
      <c r="G32" s="1" t="s">
        <v>29</v>
      </c>
    </row>
    <row r="33">
      <c r="A33" s="1" t="s">
        <v>100</v>
      </c>
      <c r="B33" s="1" t="s">
        <v>101</v>
      </c>
      <c r="C33" s="1" t="s">
        <v>102</v>
      </c>
      <c r="D33" s="6">
        <v>2615812.0</v>
      </c>
      <c r="E33" s="1" t="s">
        <v>103</v>
      </c>
      <c r="F33" s="1" t="s">
        <v>104</v>
      </c>
      <c r="G33" s="1" t="s">
        <v>17</v>
      </c>
    </row>
    <row r="34">
      <c r="A34" s="1" t="s">
        <v>105</v>
      </c>
      <c r="B34" s="1" t="s">
        <v>79</v>
      </c>
      <c r="C34" s="1" t="s">
        <v>80</v>
      </c>
      <c r="D34" s="6">
        <v>746771.0</v>
      </c>
      <c r="E34" s="1" t="s">
        <v>72</v>
      </c>
      <c r="F34" s="1" t="s">
        <v>74</v>
      </c>
      <c r="G34" s="1" t="s">
        <v>29</v>
      </c>
    </row>
    <row r="35">
      <c r="A35" s="1" t="s">
        <v>106</v>
      </c>
      <c r="B35" s="1" t="s">
        <v>79</v>
      </c>
      <c r="C35" s="1" t="s">
        <v>80</v>
      </c>
      <c r="D35" s="6">
        <v>746771.0</v>
      </c>
      <c r="E35" s="1" t="s">
        <v>72</v>
      </c>
      <c r="F35" s="1" t="s">
        <v>74</v>
      </c>
      <c r="G35" s="1" t="s">
        <v>29</v>
      </c>
    </row>
    <row r="36">
      <c r="A36" s="1" t="s">
        <v>107</v>
      </c>
      <c r="B36" s="1" t="s">
        <v>79</v>
      </c>
      <c r="C36" s="1" t="s">
        <v>80</v>
      </c>
      <c r="D36" s="6">
        <v>746771.0</v>
      </c>
      <c r="E36" s="1" t="s">
        <v>72</v>
      </c>
      <c r="F36" s="1" t="s">
        <v>74</v>
      </c>
      <c r="G36" s="1" t="s">
        <v>29</v>
      </c>
    </row>
    <row r="37">
      <c r="A37" s="1" t="s">
        <v>108</v>
      </c>
      <c r="B37" s="1" t="s">
        <v>79</v>
      </c>
      <c r="C37" s="1" t="s">
        <v>80</v>
      </c>
      <c r="D37" s="6">
        <v>746771.0</v>
      </c>
      <c r="E37" s="1" t="s">
        <v>72</v>
      </c>
      <c r="F37" s="1" t="s">
        <v>74</v>
      </c>
      <c r="G37" s="1" t="s">
        <v>29</v>
      </c>
    </row>
    <row r="38">
      <c r="A38" s="1" t="s">
        <v>109</v>
      </c>
      <c r="B38" s="1" t="s">
        <v>79</v>
      </c>
      <c r="C38" s="1" t="s">
        <v>80</v>
      </c>
      <c r="D38" s="6">
        <v>746771.0</v>
      </c>
      <c r="E38" s="1" t="s">
        <v>72</v>
      </c>
      <c r="F38" s="1" t="s">
        <v>74</v>
      </c>
      <c r="G38" s="1" t="s">
        <v>29</v>
      </c>
    </row>
    <row r="39">
      <c r="A39" s="1" t="s">
        <v>110</v>
      </c>
      <c r="B39" s="1" t="s">
        <v>111</v>
      </c>
      <c r="C39" s="1" t="s">
        <v>112</v>
      </c>
      <c r="D39" s="6">
        <v>2709215.0</v>
      </c>
      <c r="E39" s="1" t="s">
        <v>55</v>
      </c>
      <c r="F39" s="1" t="s">
        <v>113</v>
      </c>
      <c r="G39" s="1" t="s">
        <v>17</v>
      </c>
    </row>
    <row r="40">
      <c r="A40" s="1" t="s">
        <v>114</v>
      </c>
      <c r="B40" s="1" t="s">
        <v>115</v>
      </c>
      <c r="C40" s="1" t="s">
        <v>116</v>
      </c>
      <c r="D40" s="6">
        <v>2412673.0</v>
      </c>
      <c r="E40" s="1" t="s">
        <v>117</v>
      </c>
      <c r="F40" s="1" t="s">
        <v>118</v>
      </c>
      <c r="G40" s="1" t="s">
        <v>17</v>
      </c>
    </row>
    <row r="41">
      <c r="A41" s="1" t="s">
        <v>119</v>
      </c>
      <c r="B41" s="1" t="s">
        <v>120</v>
      </c>
      <c r="C41" s="1" t="s">
        <v>121</v>
      </c>
      <c r="D41" s="6">
        <v>2709215.0</v>
      </c>
      <c r="E41" s="1" t="s">
        <v>55</v>
      </c>
      <c r="F41" s="1" t="s">
        <v>113</v>
      </c>
      <c r="G41" s="1" t="s">
        <v>17</v>
      </c>
    </row>
    <row r="42">
      <c r="A42" s="1" t="s">
        <v>122</v>
      </c>
      <c r="B42" s="1" t="s">
        <v>49</v>
      </c>
      <c r="C42" s="1" t="s">
        <v>49</v>
      </c>
      <c r="D42" s="6">
        <v>2709273.0</v>
      </c>
      <c r="E42" s="1" t="s">
        <v>58</v>
      </c>
      <c r="F42" s="1" t="s">
        <v>123</v>
      </c>
      <c r="G42" s="1" t="s">
        <v>17</v>
      </c>
    </row>
    <row r="43">
      <c r="A43" s="1" t="s">
        <v>124</v>
      </c>
      <c r="B43" s="1" t="s">
        <v>49</v>
      </c>
      <c r="C43" s="1" t="s">
        <v>49</v>
      </c>
      <c r="D43" s="6">
        <v>2709273.0</v>
      </c>
      <c r="E43" s="1" t="s">
        <v>58</v>
      </c>
      <c r="F43" s="1" t="s">
        <v>123</v>
      </c>
      <c r="G43" s="1" t="s">
        <v>29</v>
      </c>
    </row>
    <row r="44">
      <c r="A44" s="1" t="s">
        <v>125</v>
      </c>
      <c r="B44" s="1" t="s">
        <v>59</v>
      </c>
      <c r="C44" s="1" t="s">
        <v>126</v>
      </c>
      <c r="D44" s="6">
        <v>2147542.0</v>
      </c>
      <c r="E44" s="1" t="s">
        <v>127</v>
      </c>
      <c r="F44" s="1" t="s">
        <v>128</v>
      </c>
      <c r="G44" s="1" t="s">
        <v>17</v>
      </c>
    </row>
    <row r="45">
      <c r="A45" s="1" t="s">
        <v>129</v>
      </c>
      <c r="B45" s="1" t="s">
        <v>68</v>
      </c>
      <c r="C45" s="1" t="s">
        <v>130</v>
      </c>
      <c r="D45" s="6">
        <v>2705699.0</v>
      </c>
      <c r="E45" s="1" t="s">
        <v>131</v>
      </c>
      <c r="F45" s="1" t="s">
        <v>132</v>
      </c>
      <c r="G45" s="1" t="s">
        <v>17</v>
      </c>
    </row>
    <row r="46">
      <c r="A46" s="1" t="s">
        <v>133</v>
      </c>
      <c r="B46" s="1" t="s">
        <v>49</v>
      </c>
      <c r="C46" s="1" t="s">
        <v>49</v>
      </c>
      <c r="D46" s="6">
        <v>2709273.0</v>
      </c>
      <c r="E46" s="1" t="s">
        <v>58</v>
      </c>
      <c r="F46" s="1" t="s">
        <v>123</v>
      </c>
      <c r="G46" s="1" t="s">
        <v>29</v>
      </c>
    </row>
    <row r="47">
      <c r="A47" s="1" t="s">
        <v>134</v>
      </c>
      <c r="B47" s="1" t="s">
        <v>59</v>
      </c>
      <c r="C47" s="1" t="s">
        <v>126</v>
      </c>
      <c r="D47" s="6">
        <v>2147542.0</v>
      </c>
      <c r="E47" s="1" t="s">
        <v>127</v>
      </c>
      <c r="F47" s="1" t="s">
        <v>128</v>
      </c>
      <c r="G47" s="1" t="s">
        <v>29</v>
      </c>
    </row>
    <row r="48">
      <c r="A48" s="1" t="s">
        <v>135</v>
      </c>
      <c r="B48" s="1" t="s">
        <v>68</v>
      </c>
      <c r="C48" s="1" t="s">
        <v>130</v>
      </c>
      <c r="D48" s="6">
        <v>2705699.0</v>
      </c>
      <c r="E48" s="1" t="s">
        <v>131</v>
      </c>
      <c r="F48" s="1" t="s">
        <v>132</v>
      </c>
      <c r="G48" s="1" t="s">
        <v>29</v>
      </c>
    </row>
    <row r="49">
      <c r="A49" s="1" t="s">
        <v>136</v>
      </c>
      <c r="B49" s="1" t="s">
        <v>89</v>
      </c>
      <c r="C49" s="1" t="s">
        <v>89</v>
      </c>
      <c r="D49" s="6">
        <v>1886250.0</v>
      </c>
      <c r="E49" s="1" t="s">
        <v>90</v>
      </c>
      <c r="F49" s="1" t="s">
        <v>91</v>
      </c>
      <c r="G49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0.14"/>
    <col customWidth="1" min="3" max="3" width="14.29"/>
    <col customWidth="1" min="4" max="4" width="16.86"/>
    <col customWidth="1" min="5" max="5" width="22.43"/>
    <col customWidth="1" min="6" max="6" width="11.43"/>
    <col customWidth="1" min="7" max="7" width="17.14"/>
    <col customWidth="1" min="8" max="8" width="20.57"/>
    <col customWidth="1" min="9" max="9" width="16.57"/>
    <col customWidth="1" min="10" max="10" width="17.29"/>
    <col customWidth="1" min="11" max="11" width="15.71"/>
    <col customWidth="1" min="12" max="13" width="10.29"/>
    <col customWidth="1" min="14" max="14" width="13.43"/>
    <col customWidth="1" min="15" max="15" width="7.43"/>
    <col customWidth="1" min="16" max="16" width="9.57"/>
    <col customWidth="1" min="17" max="17" width="16.71"/>
    <col customWidth="1" min="18" max="18" width="8.57"/>
    <col customWidth="1" min="19" max="19" width="5.14"/>
    <col customWidth="1" min="20" max="20" width="35.71"/>
    <col customWidth="1" min="21" max="21" width="20.86"/>
    <col customWidth="1" min="22" max="22" width="5.14"/>
    <col customWidth="1" min="23" max="31" width="8.71"/>
  </cols>
  <sheetData>
    <row r="1">
      <c r="A1" s="3" t="s">
        <v>1</v>
      </c>
      <c r="B1" s="5" t="s">
        <v>12</v>
      </c>
      <c r="C1" s="5" t="s">
        <v>13</v>
      </c>
      <c r="D1" s="5" t="s">
        <v>15</v>
      </c>
      <c r="E1" s="5" t="s">
        <v>18</v>
      </c>
      <c r="F1" s="5" t="s">
        <v>21</v>
      </c>
      <c r="G1" s="5" t="s">
        <v>23</v>
      </c>
      <c r="H1" s="5" t="s">
        <v>25</v>
      </c>
      <c r="I1" s="5" t="s">
        <v>27</v>
      </c>
      <c r="J1" s="5" t="s">
        <v>28</v>
      </c>
      <c r="K1" s="7" t="s">
        <v>32</v>
      </c>
      <c r="L1" s="7" t="s">
        <v>34</v>
      </c>
      <c r="M1" s="7" t="s">
        <v>35</v>
      </c>
      <c r="N1" s="7" t="s">
        <v>36</v>
      </c>
      <c r="O1" s="7" t="s">
        <v>37</v>
      </c>
      <c r="P1" s="9" t="s">
        <v>41</v>
      </c>
      <c r="Q1" s="7" t="s">
        <v>44</v>
      </c>
      <c r="R1" s="7" t="s">
        <v>4</v>
      </c>
    </row>
    <row r="2">
      <c r="A2" s="1" t="s">
        <v>49</v>
      </c>
      <c r="B2" s="11">
        <v>43.0</v>
      </c>
      <c r="C2" s="11">
        <v>9.61</v>
      </c>
      <c r="D2" s="11">
        <v>4.88</v>
      </c>
      <c r="E2" s="11">
        <v>0.0</v>
      </c>
      <c r="F2" s="11">
        <v>1.39</v>
      </c>
      <c r="G2" s="11">
        <v>0.49</v>
      </c>
      <c r="H2" s="11">
        <v>0.01</v>
      </c>
      <c r="I2" s="11">
        <v>0.0</v>
      </c>
      <c r="J2" s="11">
        <v>0.05</v>
      </c>
      <c r="K2" s="12">
        <v>0.28</v>
      </c>
      <c r="L2" s="12">
        <v>0.0</v>
      </c>
      <c r="M2" s="12">
        <v>0.0</v>
      </c>
      <c r="N2" s="12">
        <v>0.0</v>
      </c>
      <c r="O2" s="12">
        <v>5.3</v>
      </c>
      <c r="P2" s="12">
        <v>1.0</v>
      </c>
      <c r="Q2" s="1" t="s">
        <v>58</v>
      </c>
      <c r="R2" s="6">
        <v>2709273.0</v>
      </c>
    </row>
    <row r="3">
      <c r="A3" s="1" t="s">
        <v>59</v>
      </c>
      <c r="B3" s="12"/>
      <c r="C3" s="13">
        <v>99.5</v>
      </c>
      <c r="D3" s="13">
        <v>99.5</v>
      </c>
      <c r="E3" s="13">
        <v>99.5</v>
      </c>
      <c r="F3" s="13">
        <v>0.3</v>
      </c>
      <c r="G3" s="14"/>
      <c r="H3" s="14"/>
      <c r="I3" s="14"/>
      <c r="J3" s="14"/>
      <c r="K3" s="14"/>
      <c r="L3" s="14"/>
      <c r="M3" s="14"/>
      <c r="N3" s="14"/>
      <c r="O3" s="13"/>
      <c r="P3" s="12">
        <v>12.0</v>
      </c>
    </row>
    <row r="4">
      <c r="A4" s="1" t="s">
        <v>68</v>
      </c>
      <c r="B4" s="12"/>
      <c r="C4" s="13">
        <v>7.6</v>
      </c>
      <c r="D4" s="13">
        <v>0.0</v>
      </c>
      <c r="E4" s="13">
        <v>0.0</v>
      </c>
      <c r="F4" s="13">
        <v>0.6</v>
      </c>
      <c r="G4" s="15">
        <v>0.1</v>
      </c>
      <c r="H4" s="14"/>
      <c r="I4" s="14"/>
      <c r="J4" s="14"/>
      <c r="K4" s="14"/>
      <c r="L4" s="14"/>
      <c r="M4" s="14"/>
      <c r="N4" s="14"/>
      <c r="O4" s="14"/>
      <c r="P4" s="12">
        <v>0.0</v>
      </c>
    </row>
    <row r="5">
      <c r="B5" s="16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0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"/>
      <c r="Q19" s="1"/>
      <c r="R19" s="1"/>
    </row>
    <row r="20" ht="15.75" customHeight="1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20"/>
      <c r="Q20" s="20"/>
    </row>
    <row r="21" ht="15.75" customHeight="1">
      <c r="B21" s="16"/>
      <c r="C21" s="21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15.75" customHeight="1">
      <c r="A22" s="22"/>
      <c r="B22" s="21"/>
      <c r="C22" s="2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ht="15.75" customHeight="1">
      <c r="A23" s="24"/>
      <c r="B23" s="23"/>
      <c r="C23" s="21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15.75" customHeight="1">
      <c r="A24" s="22"/>
      <c r="B24" s="21"/>
      <c r="C24" s="2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15.75" customHeight="1">
      <c r="A25" s="24"/>
      <c r="B25" s="23"/>
      <c r="C25" s="21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15.75" customHeight="1">
      <c r="A26" s="22"/>
      <c r="B26" s="21"/>
      <c r="C26" s="23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15.75" customHeight="1">
      <c r="A27" s="24"/>
      <c r="B27" s="23"/>
      <c r="C27" s="21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ht="15.75" customHeight="1">
      <c r="A28" s="22"/>
      <c r="B28" s="21"/>
      <c r="C28" s="23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ht="15.75" customHeight="1">
      <c r="A29" s="24"/>
      <c r="B29" s="23"/>
      <c r="C29" s="21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ht="15.75" customHeight="1">
      <c r="A30" s="22"/>
      <c r="B30" s="21"/>
      <c r="C30" s="23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ht="15.75" customHeight="1">
      <c r="A31" s="24"/>
      <c r="B31" s="23"/>
      <c r="C31" s="21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ht="15.75" customHeight="1">
      <c r="A32" s="22"/>
      <c r="B32" s="21"/>
      <c r="C32" s="23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ht="15.75" customHeight="1">
      <c r="A33" s="24"/>
      <c r="B33" s="23"/>
      <c r="C33" s="21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ht="15.75" customHeight="1">
      <c r="A34" s="22"/>
      <c r="B34" s="21"/>
      <c r="C34" s="2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ht="15.75" customHeight="1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ht="15.75" customHeight="1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ht="15.75" customHeight="1"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ht="15.75" customHeight="1"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ht="15.75" customHeight="1"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ht="15.75" customHeight="1"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ht="15.75" customHeight="1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ht="15.75" customHeight="1"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ht="15.75" customHeight="1"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ht="15.75" customHeight="1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ht="15.75" customHeight="1"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ht="15.75" customHeight="1"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ht="15.75" customHeight="1"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ht="15.75" customHeight="1"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ht="15.75" customHeight="1"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15.75" customHeight="1"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ht="15.75" customHeight="1"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ht="15.75" customHeight="1"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ht="15.75" customHeight="1"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ht="15.75" customHeight="1"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ht="15.75" customHeight="1"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ht="15.75" customHeight="1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ht="15.75" customHeight="1"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ht="15.75" customHeight="1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ht="15.75" customHeight="1"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ht="15.75" customHeight="1"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ht="15.75" customHeight="1"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ht="15.75" customHeight="1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ht="15.75" customHeight="1"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ht="15.75" customHeight="1"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ht="15.75" customHeight="1"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ht="15.75" customHeight="1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ht="15.75" customHeight="1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ht="15.75" customHeight="1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ht="15.75" customHeight="1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ht="15.75" customHeight="1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ht="15.75" customHeight="1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ht="15.75" customHeight="1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ht="15.75" customHeight="1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ht="15.75" customHeight="1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ht="15.75" customHeight="1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ht="15.75" customHeight="1"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ht="15.75" customHeight="1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ht="15.75" customHeight="1"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ht="15.75" customHeight="1"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ht="15.75" customHeight="1"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ht="15.75" customHeight="1"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ht="15.75" customHeight="1"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ht="15.75" customHeight="1"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ht="15.75" customHeight="1"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ht="15.75" customHeight="1"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ht="15.75" customHeight="1"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ht="15.75" customHeight="1"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ht="15.75" customHeight="1"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ht="15.75" customHeight="1"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ht="15.75" customHeight="1"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ht="15.75" customHeight="1"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ht="15.75" customHeight="1"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ht="15.75" customHeight="1"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ht="15.75" customHeight="1"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ht="15.75" customHeight="1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ht="15.75" customHeight="1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ht="15.75" customHeight="1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ht="15.75" customHeight="1"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ht="15.75" customHeight="1"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ht="15.75" customHeight="1"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ht="15.75" customHeight="1"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ht="15.75" customHeight="1"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ht="15.75" customHeight="1"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ht="15.75" customHeight="1"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ht="15.75" customHeight="1"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ht="15.75" customHeight="1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ht="15.75" customHeight="1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ht="15.75" customHeight="1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ht="15.75" customHeight="1"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ht="15.75" customHeight="1"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ht="15.75" customHeight="1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ht="15.75" customHeight="1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ht="15.75" customHeight="1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ht="15.75" customHeight="1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ht="15.75" customHeight="1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ht="15.75" customHeight="1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ht="15.75" customHeight="1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ht="15.75" customHeight="1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ht="15.75" customHeight="1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ht="15.75" customHeight="1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ht="15.75" customHeight="1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ht="15.75" customHeight="1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ht="15.75" customHeight="1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ht="15.75" customHeight="1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ht="15.75" customHeight="1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</row>
    <row r="126" ht="15.75" customHeight="1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ht="15.75" customHeight="1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</row>
    <row r="128" ht="15.75" customHeight="1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</row>
    <row r="129" ht="15.75" customHeight="1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</row>
    <row r="130" ht="15.75" customHeight="1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ht="15.75" customHeight="1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</row>
    <row r="132" ht="15.75" customHeight="1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ht="15.75" customHeight="1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ht="15.75" customHeight="1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5" ht="15.75" customHeight="1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ht="15.75" customHeight="1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ht="15.75" customHeight="1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ht="15.75" customHeight="1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ht="15.75" customHeight="1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ht="15.75" customHeight="1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ht="15.75" customHeight="1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ht="15.75" customHeight="1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ht="15.75" customHeight="1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ht="15.75" customHeight="1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ht="15.75" customHeight="1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</row>
    <row r="146" ht="15.75" customHeight="1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ht="15.75" customHeight="1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ht="15.75" customHeight="1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</row>
    <row r="149" ht="15.75" customHeight="1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ht="15.75" customHeight="1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ht="15.75" customHeight="1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ht="15.75" customHeight="1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</row>
    <row r="153" ht="15.75" customHeight="1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</row>
    <row r="154" ht="15.75" customHeight="1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ht="15.75" customHeight="1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</row>
    <row r="156" ht="15.75" customHeight="1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</row>
    <row r="157" ht="15.75" customHeight="1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ht="15.75" customHeight="1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</row>
    <row r="159" ht="15.75" customHeight="1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</row>
    <row r="160" ht="15.75" customHeight="1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</row>
    <row r="161" ht="15.75" customHeight="1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ht="15.75" customHeight="1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</row>
    <row r="163" ht="15.75" customHeight="1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</row>
    <row r="164" ht="15.75" customHeight="1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ht="15.75" customHeight="1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</row>
    <row r="166" ht="15.75" customHeight="1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</row>
    <row r="167" ht="15.75" customHeight="1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</row>
    <row r="168" ht="15.75" customHeight="1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</row>
    <row r="169" ht="15.75" customHeight="1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</row>
    <row r="170" ht="15.75" customHeight="1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</row>
    <row r="171" ht="15.75" customHeight="1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</row>
    <row r="172" ht="15.75" customHeight="1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</row>
    <row r="173" ht="15.75" customHeight="1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</row>
    <row r="174" ht="15.75" customHeight="1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</row>
    <row r="175" ht="15.75" customHeight="1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</row>
    <row r="176" ht="15.75" customHeight="1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</row>
    <row r="177" ht="15.75" customHeight="1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ht="15.75" customHeight="1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ht="15.75" customHeight="1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</row>
    <row r="180" ht="15.75" customHeight="1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</row>
    <row r="181" ht="15.75" customHeight="1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ht="15.75" customHeight="1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ht="15.75" customHeight="1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</row>
    <row r="184" ht="15.75" customHeight="1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</row>
    <row r="185" ht="15.75" customHeight="1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ht="15.75" customHeight="1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</row>
    <row r="187" ht="15.75" customHeight="1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</row>
    <row r="188" ht="15.75" customHeight="1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</row>
    <row r="189" ht="15.75" customHeight="1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</row>
    <row r="190" ht="15.75" customHeight="1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ht="15.75" customHeight="1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</row>
    <row r="192" ht="15.75" customHeight="1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ht="15.75" customHeight="1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</row>
    <row r="194" ht="15.75" customHeight="1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</row>
    <row r="195" ht="15.75" customHeight="1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</row>
    <row r="196" ht="15.75" customHeight="1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</row>
    <row r="197" ht="15.75" customHeight="1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ht="15.75" customHeight="1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</row>
    <row r="199" ht="15.75" customHeight="1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</row>
    <row r="200" ht="15.75" customHeight="1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</row>
    <row r="201" ht="15.75" customHeight="1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</row>
    <row r="202" ht="15.75" customHeight="1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ht="15.75" customHeight="1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</row>
    <row r="204" ht="15.75" customHeight="1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5" ht="15.75" customHeight="1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</row>
    <row r="206" ht="15.75" customHeight="1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</row>
    <row r="207" ht="15.75" customHeight="1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</row>
    <row r="208" ht="15.75" customHeight="1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</row>
    <row r="209" ht="15.75" customHeight="1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</row>
    <row r="210" ht="15.75" customHeight="1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</row>
    <row r="211" ht="15.75" customHeight="1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</row>
    <row r="212" ht="15.75" customHeight="1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ht="15.75" customHeight="1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</row>
    <row r="214" ht="15.75" customHeight="1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</row>
    <row r="215" ht="15.75" customHeight="1"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</row>
    <row r="216" ht="15.75" customHeight="1"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</row>
    <row r="217" ht="15.75" customHeight="1"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ht="15.75" customHeight="1"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ht="15.75" customHeight="1"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ht="15.75" customHeight="1"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ht="15.75" customHeight="1"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ht="15.75" customHeight="1"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</row>
    <row r="223" ht="15.75" customHeight="1"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</row>
    <row r="224" ht="15.75" customHeight="1"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</row>
    <row r="225" ht="15.75" customHeight="1"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</row>
    <row r="226" ht="15.75" customHeight="1"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</row>
    <row r="227" ht="15.75" customHeight="1"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ht="15.75" customHeight="1"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ht="15.75" customHeight="1"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</row>
    <row r="230" ht="15.75" customHeight="1"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</row>
    <row r="231" ht="15.75" customHeight="1"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ht="15.75" customHeight="1"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</row>
    <row r="233" ht="15.75" customHeight="1"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</row>
    <row r="234" ht="15.75" customHeight="1"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</row>
    <row r="235" ht="15.75" customHeight="1"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</row>
    <row r="236" ht="15.75" customHeight="1"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</row>
    <row r="237" ht="15.75" customHeight="1"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</row>
    <row r="238" ht="15.75" customHeight="1"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</row>
    <row r="239" ht="15.75" customHeight="1"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</row>
    <row r="240" ht="15.75" customHeight="1"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</row>
    <row r="241" ht="15.75" customHeight="1"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</row>
    <row r="242" ht="15.75" customHeight="1"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</row>
    <row r="243" ht="15.75" customHeight="1"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</row>
    <row r="244" ht="15.75" customHeight="1"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</row>
    <row r="245" ht="15.75" customHeight="1"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</row>
    <row r="246" ht="15.75" customHeight="1"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</row>
    <row r="247" ht="15.75" customHeight="1"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</row>
    <row r="248" ht="15.75" customHeight="1"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</row>
    <row r="249" ht="15.75" customHeight="1"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ht="15.75" customHeight="1"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ht="15.75" customHeight="1"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</row>
    <row r="252" ht="15.75" customHeight="1"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</row>
    <row r="253" ht="15.75" customHeight="1"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</row>
    <row r="254" ht="15.75" customHeight="1"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</row>
    <row r="255" ht="15.75" customHeight="1"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</row>
    <row r="256" ht="15.75" customHeight="1"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ht="15.75" customHeight="1"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</row>
    <row r="258" ht="15.75" customHeight="1"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</row>
    <row r="259" ht="15.75" customHeight="1"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</row>
    <row r="260" ht="15.75" customHeight="1"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</row>
    <row r="261" ht="15.75" customHeight="1"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</row>
    <row r="262" ht="15.75" customHeight="1"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ht="15.75" customHeight="1"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</row>
    <row r="264" ht="15.75" customHeight="1"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</row>
    <row r="265" ht="15.75" customHeight="1"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</row>
    <row r="266" ht="15.75" customHeight="1"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</row>
    <row r="267" ht="15.75" customHeight="1"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</row>
    <row r="268" ht="15.75" customHeight="1"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</row>
    <row r="269" ht="15.75" customHeight="1"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</row>
    <row r="270" ht="15.75" customHeight="1"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ht="15.75" customHeight="1"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</row>
    <row r="272" ht="15.75" customHeight="1"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ht="15.75" customHeight="1"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</row>
    <row r="274" ht="15.75" customHeight="1"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</row>
    <row r="275" ht="15.75" customHeight="1"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ht="15.75" customHeight="1"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</row>
    <row r="277" ht="15.75" customHeight="1"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ht="15.75" customHeight="1"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ht="15.75" customHeight="1"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</row>
    <row r="280" ht="15.75" customHeight="1"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</row>
    <row r="281" ht="15.75" customHeight="1"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</row>
    <row r="282" ht="15.75" customHeight="1"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</row>
    <row r="283" ht="15.75" customHeight="1"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</row>
    <row r="284" ht="15.75" customHeight="1"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ht="15.75" customHeight="1"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ht="15.75" customHeight="1"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</row>
    <row r="287" ht="15.75" customHeight="1"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</row>
    <row r="288" ht="15.75" customHeight="1"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</row>
    <row r="289" ht="15.75" customHeight="1"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ht="15.75" customHeight="1"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</row>
    <row r="291" ht="15.75" customHeight="1"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</row>
    <row r="292" ht="15.75" customHeight="1"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</row>
    <row r="293" ht="15.75" customHeight="1"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ht="15.75" customHeight="1"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</row>
    <row r="295" ht="15.75" customHeight="1"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</row>
    <row r="296" ht="15.75" customHeight="1"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ht="15.75" customHeight="1"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ht="15.75" customHeight="1"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</row>
    <row r="299" ht="15.75" customHeight="1"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</row>
    <row r="300" ht="15.75" customHeight="1"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</row>
    <row r="301" ht="15.75" customHeight="1"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</row>
    <row r="302" ht="15.75" customHeight="1"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ht="15.75" customHeight="1"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</row>
    <row r="304" ht="15.75" customHeight="1"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ht="15.75" customHeight="1"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</row>
    <row r="306" ht="15.75" customHeight="1"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ht="15.75" customHeight="1"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</row>
    <row r="308" ht="15.75" customHeight="1"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</row>
    <row r="309" ht="15.75" customHeight="1"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</row>
    <row r="310" ht="15.75" customHeight="1"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ht="15.75" customHeight="1"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</row>
    <row r="312" ht="15.75" customHeight="1"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</row>
    <row r="313" ht="15.75" customHeight="1"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</row>
    <row r="314" ht="15.75" customHeight="1"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ht="15.75" customHeight="1"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</row>
    <row r="316" ht="15.75" customHeight="1"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ht="15.75" customHeight="1"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ht="15.75" customHeight="1"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</row>
    <row r="319" ht="15.75" customHeight="1"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</row>
    <row r="320" ht="15.75" customHeight="1"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</row>
    <row r="321" ht="15.75" customHeight="1"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ht="15.75" customHeight="1"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</row>
    <row r="323" ht="15.75" customHeight="1"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</row>
    <row r="324" ht="15.75" customHeight="1"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</row>
    <row r="325" ht="15.75" customHeight="1"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</row>
    <row r="326" ht="15.75" customHeight="1"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ht="15.75" customHeight="1"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</row>
    <row r="328" ht="15.75" customHeight="1"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ht="15.75" customHeight="1"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</row>
    <row r="330" ht="15.75" customHeight="1"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</row>
    <row r="331" ht="15.75" customHeight="1"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</row>
    <row r="332" ht="15.75" customHeight="1"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</row>
    <row r="333" ht="15.75" customHeight="1"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ht="15.75" customHeight="1"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</row>
    <row r="335" ht="15.75" customHeight="1"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</row>
    <row r="336" ht="15.75" customHeight="1"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</row>
    <row r="337" ht="15.75" customHeight="1"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</row>
    <row r="338" ht="15.75" customHeight="1"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</row>
    <row r="339" ht="15.75" customHeight="1"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</row>
    <row r="340" ht="15.75" customHeight="1"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1" ht="15.75" customHeight="1"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</row>
    <row r="342" ht="15.75" customHeight="1"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</row>
    <row r="343" ht="15.75" customHeight="1"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</row>
    <row r="344" ht="15.75" customHeight="1"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ht="15.75" customHeight="1"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</row>
    <row r="346" ht="15.75" customHeight="1"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ht="15.75" customHeight="1"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</row>
    <row r="348" ht="15.75" customHeight="1"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</row>
    <row r="349" ht="15.75" customHeight="1"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ht="15.75" customHeight="1"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</row>
    <row r="351" ht="15.75" customHeight="1"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</row>
    <row r="352" ht="15.75" customHeight="1"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ht="15.75" customHeight="1"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</row>
    <row r="354" ht="15.75" customHeight="1"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</row>
    <row r="355" ht="15.75" customHeight="1"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</row>
    <row r="356" ht="15.75" customHeight="1"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</row>
    <row r="357" ht="15.75" customHeight="1"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</row>
    <row r="358" ht="15.75" customHeight="1"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</row>
    <row r="359" ht="15.75" customHeight="1"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ht="15.75" customHeight="1"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</row>
    <row r="361" ht="15.75" customHeight="1"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ht="15.75" customHeight="1"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</row>
    <row r="363" ht="15.75" customHeight="1"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ht="15.75" customHeight="1"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</row>
    <row r="365" ht="15.75" customHeight="1"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</row>
    <row r="366" ht="15.75" customHeight="1"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ht="15.75" customHeight="1"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ht="15.75" customHeight="1"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</row>
    <row r="369" ht="15.75" customHeight="1"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</row>
    <row r="370" ht="15.75" customHeight="1"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</row>
    <row r="371" ht="15.75" customHeight="1"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</row>
    <row r="372" ht="15.75" customHeight="1"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</row>
    <row r="373" ht="15.75" customHeight="1"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ht="15.75" customHeight="1"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</row>
    <row r="375" ht="15.75" customHeight="1"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ht="15.75" customHeight="1"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</row>
    <row r="377" ht="15.75" customHeight="1"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</row>
    <row r="378" ht="15.75" customHeight="1"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</row>
    <row r="379" ht="15.75" customHeight="1"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</row>
    <row r="380" ht="15.75" customHeight="1"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</row>
    <row r="381" ht="15.75" customHeight="1"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</row>
    <row r="382" ht="15.75" customHeight="1"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</row>
    <row r="383" ht="15.75" customHeight="1"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</row>
    <row r="384" ht="15.75" customHeight="1"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</row>
    <row r="385" ht="15.75" customHeight="1"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</row>
    <row r="386" ht="15.75" customHeight="1"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</row>
    <row r="387" ht="15.75" customHeight="1"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</row>
    <row r="388" ht="15.75" customHeight="1"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</row>
    <row r="389" ht="15.75" customHeight="1"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ht="15.75" customHeight="1"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</row>
    <row r="391" ht="15.75" customHeight="1"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</row>
    <row r="392" ht="15.75" customHeight="1"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</row>
    <row r="393" ht="15.75" customHeight="1"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</row>
    <row r="394" ht="15.75" customHeight="1"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</row>
    <row r="395" ht="15.75" customHeight="1"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</row>
    <row r="396" ht="15.75" customHeight="1"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</row>
    <row r="397" ht="15.75" customHeight="1"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</row>
    <row r="398" ht="15.75" customHeight="1"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</row>
    <row r="399" ht="15.75" customHeight="1"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</row>
    <row r="400" ht="15.75" customHeight="1"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</row>
    <row r="401" ht="15.75" customHeight="1"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</row>
    <row r="402" ht="15.75" customHeight="1"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</row>
    <row r="403" ht="15.75" customHeight="1"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</row>
    <row r="404" ht="15.75" customHeight="1"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</row>
    <row r="405" ht="15.75" customHeight="1"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</row>
    <row r="406" ht="15.75" customHeight="1"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</row>
    <row r="407" ht="15.75" customHeight="1"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</row>
    <row r="408" ht="15.75" customHeight="1"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</row>
    <row r="409" ht="15.75" customHeight="1"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</row>
    <row r="410" ht="15.75" customHeight="1"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</row>
    <row r="411" ht="15.75" customHeight="1"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</row>
    <row r="412" ht="15.75" customHeight="1"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ht="15.75" customHeight="1"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</row>
    <row r="414" ht="15.75" customHeight="1"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</row>
    <row r="415" ht="15.75" customHeight="1"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ht="15.75" customHeight="1"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</row>
    <row r="417" ht="15.75" customHeight="1"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</row>
    <row r="418" ht="15.75" customHeight="1"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</row>
    <row r="419" ht="15.75" customHeight="1"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</row>
    <row r="420" ht="15.75" customHeight="1"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</row>
    <row r="421" ht="15.75" customHeight="1"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</row>
    <row r="422" ht="15.75" customHeight="1"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</row>
    <row r="423" ht="15.75" customHeight="1"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</row>
    <row r="424" ht="15.75" customHeight="1"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</row>
    <row r="425" ht="15.75" customHeight="1"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</row>
    <row r="426" ht="15.75" customHeight="1"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</row>
    <row r="427" ht="15.75" customHeight="1"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</row>
    <row r="428" ht="15.75" customHeight="1"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</row>
    <row r="429" ht="15.75" customHeight="1"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</row>
    <row r="430" ht="15.75" customHeight="1"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ht="15.75" customHeight="1"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</row>
    <row r="432" ht="15.75" customHeight="1"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</row>
    <row r="433" ht="15.75" customHeight="1"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ht="15.75" customHeight="1"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5" ht="15.75" customHeight="1"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</row>
    <row r="436" ht="15.75" customHeight="1"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</row>
    <row r="437" ht="15.75" customHeight="1"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</row>
    <row r="438" ht="15.75" customHeight="1"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</row>
    <row r="439" ht="15.75" customHeight="1"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</row>
    <row r="440" ht="15.75" customHeight="1"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</row>
    <row r="441" ht="15.75" customHeight="1"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</row>
    <row r="442" ht="15.75" customHeight="1"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ht="15.75" customHeight="1"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</row>
    <row r="444" ht="15.75" customHeight="1"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</row>
    <row r="445" ht="15.75" customHeight="1"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ht="15.75" customHeight="1"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</row>
    <row r="447" ht="15.75" customHeight="1"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ht="15.75" customHeight="1"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</row>
    <row r="449" ht="15.75" customHeight="1"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</row>
    <row r="450" ht="15.75" customHeight="1"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ht="15.75" customHeight="1"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</row>
    <row r="452" ht="15.75" customHeight="1"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</row>
    <row r="453" ht="15.75" customHeight="1"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</row>
    <row r="454" ht="15.75" customHeight="1"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</row>
    <row r="455" ht="15.75" customHeight="1"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</row>
    <row r="456" ht="15.75" customHeight="1"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</row>
    <row r="457" ht="15.75" customHeight="1"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</row>
    <row r="458" ht="15.75" customHeight="1"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</row>
    <row r="459" ht="15.75" customHeight="1"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</row>
    <row r="460" ht="15.75" customHeight="1"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</row>
    <row r="461" ht="15.75" customHeight="1"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</row>
    <row r="462" ht="15.75" customHeight="1"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</row>
    <row r="463" ht="15.75" customHeight="1"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</row>
    <row r="464" ht="15.75" customHeight="1"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</row>
    <row r="465" ht="15.75" customHeight="1"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</row>
    <row r="466" ht="15.75" customHeight="1"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</row>
    <row r="467" ht="15.75" customHeight="1"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ht="15.75" customHeight="1"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</row>
    <row r="469" ht="15.75" customHeight="1"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ht="15.75" customHeight="1"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</row>
    <row r="471" ht="15.75" customHeight="1"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ht="15.75" customHeight="1"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</row>
    <row r="473" ht="15.75" customHeight="1"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</row>
    <row r="474" ht="15.75" customHeight="1"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ht="15.75" customHeight="1"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ht="15.75" customHeight="1"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</row>
    <row r="477" ht="15.75" customHeight="1"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</row>
    <row r="478" ht="15.75" customHeight="1"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ht="15.75" customHeight="1"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</row>
    <row r="480" ht="15.75" customHeight="1"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</row>
    <row r="481" ht="15.75" customHeight="1"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</row>
    <row r="482" ht="15.75" customHeight="1"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ht="15.75" customHeight="1"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</row>
    <row r="484" ht="15.75" customHeight="1"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</row>
    <row r="485" ht="15.75" customHeight="1"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</row>
    <row r="486" ht="15.75" customHeight="1"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</row>
    <row r="487" ht="15.75" customHeight="1"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</row>
    <row r="488" ht="15.75" customHeight="1"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</row>
    <row r="489" ht="15.75" customHeight="1"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ht="15.75" customHeight="1"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</row>
    <row r="491" ht="15.75" customHeight="1"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ht="15.75" customHeight="1"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</row>
    <row r="493" ht="15.75" customHeight="1"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</row>
    <row r="494" ht="15.75" customHeight="1"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</row>
    <row r="495" ht="15.75" customHeight="1"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</row>
    <row r="496" ht="15.75" customHeight="1"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</row>
    <row r="497" ht="15.75" customHeight="1"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</row>
    <row r="498" ht="15.75" customHeight="1"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</row>
    <row r="499" ht="15.75" customHeight="1"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</row>
    <row r="500" ht="15.75" customHeight="1"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</row>
    <row r="501" ht="15.75" customHeight="1"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ht="15.75" customHeight="1"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</row>
    <row r="503" ht="15.75" customHeight="1"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</row>
    <row r="504" ht="15.75" customHeight="1"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</row>
    <row r="505" ht="15.75" customHeight="1"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</row>
    <row r="506" ht="15.75" customHeight="1"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</row>
    <row r="507" ht="15.75" customHeight="1"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ht="15.75" customHeight="1"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</row>
    <row r="509" ht="15.75" customHeight="1"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</row>
    <row r="510" ht="15.75" customHeight="1"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</row>
    <row r="511" ht="15.75" customHeight="1"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</row>
    <row r="512" ht="15.75" customHeight="1"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</row>
    <row r="513" ht="15.75" customHeight="1"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ht="15.75" customHeight="1"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</row>
    <row r="515" ht="15.75" customHeight="1"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</row>
    <row r="516" ht="15.75" customHeight="1"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</row>
    <row r="517" ht="15.75" customHeight="1"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ht="15.75" customHeight="1"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</row>
    <row r="519" ht="15.75" customHeight="1"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</row>
    <row r="520" ht="15.75" customHeight="1"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ht="15.75" customHeight="1"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</row>
    <row r="522" ht="15.75" customHeight="1"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ht="15.75" customHeight="1"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</row>
    <row r="524" ht="15.75" customHeight="1"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</row>
    <row r="525" ht="15.75" customHeight="1"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</row>
    <row r="526" ht="15.75" customHeight="1"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</row>
    <row r="527" ht="15.75" customHeight="1"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ht="15.75" customHeight="1"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</row>
    <row r="529" ht="15.75" customHeight="1"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</row>
    <row r="530" ht="15.75" customHeight="1"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</row>
    <row r="531" ht="15.75" customHeight="1"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</row>
    <row r="532" ht="15.75" customHeight="1"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</row>
    <row r="533" ht="15.75" customHeight="1"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</row>
    <row r="534" ht="15.75" customHeight="1"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</row>
    <row r="535" ht="15.75" customHeight="1"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</row>
    <row r="536" ht="15.75" customHeight="1"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ht="15.75" customHeight="1"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ht="15.75" customHeight="1"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</row>
    <row r="539" ht="15.75" customHeight="1"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ht="15.75" customHeight="1"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</row>
    <row r="541" ht="15.75" customHeight="1"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</row>
    <row r="542" ht="15.75" customHeight="1"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</row>
    <row r="543" ht="15.75" customHeight="1"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</row>
    <row r="544" ht="15.75" customHeight="1"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</row>
    <row r="545" ht="15.75" customHeight="1"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ht="15.75" customHeight="1"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</row>
    <row r="547" ht="15.75" customHeight="1"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</row>
    <row r="548" ht="15.75" customHeight="1"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ht="15.75" customHeight="1"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</row>
    <row r="550" ht="15.75" customHeight="1"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</row>
    <row r="551" ht="15.75" customHeight="1"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</row>
    <row r="552" ht="15.75" customHeight="1"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</row>
    <row r="553" ht="15.75" customHeight="1"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</row>
    <row r="554" ht="15.75" customHeight="1"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</row>
    <row r="555" ht="15.75" customHeight="1"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</row>
    <row r="556" ht="15.75" customHeight="1"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</row>
    <row r="557" ht="15.75" customHeight="1"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</row>
    <row r="558" ht="15.75" customHeight="1"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</row>
    <row r="559" ht="15.75" customHeight="1"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ht="15.75" customHeight="1"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</row>
    <row r="561" ht="15.75" customHeight="1"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</row>
    <row r="562" ht="15.75" customHeight="1"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</row>
    <row r="563" ht="15.75" customHeight="1"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</row>
    <row r="564" ht="15.75" customHeight="1"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</row>
    <row r="565" ht="15.75" customHeight="1"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</row>
    <row r="566" ht="15.75" customHeight="1"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</row>
    <row r="567" ht="15.75" customHeight="1"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</row>
    <row r="568" ht="15.75" customHeight="1"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ht="15.75" customHeight="1"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</row>
    <row r="570" ht="15.75" customHeight="1"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</row>
    <row r="571" ht="15.75" customHeight="1"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</row>
    <row r="572" ht="15.75" customHeight="1"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</row>
    <row r="573" ht="15.75" customHeight="1"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ht="15.75" customHeight="1"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</row>
    <row r="575" ht="15.75" customHeight="1"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</row>
    <row r="576" ht="15.75" customHeight="1"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</row>
    <row r="577" ht="15.75" customHeight="1"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ht="15.75" customHeight="1"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ht="15.75" customHeight="1"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</row>
    <row r="580" ht="15.75" customHeight="1"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</row>
    <row r="581" ht="15.75" customHeight="1"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ht="15.75" customHeight="1"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</row>
    <row r="583" ht="15.75" customHeight="1"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</row>
    <row r="584" ht="15.75" customHeight="1"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</row>
    <row r="585" ht="15.75" customHeight="1"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ht="15.75" customHeight="1"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</row>
    <row r="587" ht="15.75" customHeight="1"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ht="15.75" customHeight="1"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ht="15.75" customHeight="1"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ht="15.75" customHeight="1"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ht="15.75" customHeight="1"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ht="15.75" customHeight="1"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ht="15.75" customHeight="1"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ht="15.75" customHeight="1"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ht="15.75" customHeight="1"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ht="15.75" customHeight="1"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ht="15.75" customHeight="1"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ht="15.75" customHeight="1"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ht="15.75" customHeight="1"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ht="15.75" customHeight="1"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ht="15.75" customHeight="1"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ht="15.75" customHeight="1"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ht="15.75" customHeight="1"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ht="15.75" customHeight="1"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ht="15.75" customHeight="1"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ht="15.75" customHeight="1"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ht="15.75" customHeight="1"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ht="15.75" customHeight="1"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ht="15.75" customHeight="1"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ht="15.75" customHeight="1"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ht="15.75" customHeight="1"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ht="15.75" customHeight="1"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ht="15.75" customHeight="1"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ht="15.75" customHeight="1"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ht="15.75" customHeight="1"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ht="15.75" customHeight="1"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ht="15.75" customHeight="1"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ht="15.75" customHeight="1"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ht="15.75" customHeight="1"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ht="15.75" customHeight="1"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ht="15.75" customHeight="1"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ht="15.75" customHeight="1"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ht="15.75" customHeight="1"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ht="15.75" customHeight="1"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ht="15.75" customHeight="1"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ht="15.75" customHeight="1"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ht="15.75" customHeight="1"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ht="15.75" customHeight="1"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ht="15.75" customHeight="1"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ht="15.75" customHeight="1"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ht="15.75" customHeight="1"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ht="15.75" customHeight="1"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  <row r="633" ht="15.75" customHeight="1"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</row>
    <row r="634" ht="15.75" customHeight="1"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</row>
    <row r="635" ht="15.75" customHeight="1"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</row>
    <row r="636" ht="15.75" customHeight="1"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</row>
    <row r="637" ht="15.75" customHeight="1"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</row>
    <row r="638" ht="15.75" customHeight="1"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ht="15.75" customHeight="1"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</row>
    <row r="640" ht="15.75" customHeight="1"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</row>
    <row r="641" ht="15.75" customHeight="1"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ht="15.75" customHeight="1"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</row>
    <row r="643" ht="15.75" customHeight="1"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</row>
    <row r="644" ht="15.75" customHeight="1"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</row>
    <row r="645" ht="15.75" customHeight="1"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</row>
    <row r="646" ht="15.75" customHeight="1"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</row>
    <row r="647" ht="15.75" customHeight="1"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</row>
    <row r="648" ht="15.75" customHeight="1"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</row>
    <row r="649" ht="15.75" customHeight="1"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ht="15.75" customHeight="1"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</row>
    <row r="651" ht="15.75" customHeight="1"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ht="15.75" customHeight="1"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</row>
    <row r="653" ht="15.75" customHeight="1"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</row>
    <row r="654" ht="15.75" customHeight="1"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</row>
    <row r="655" ht="15.75" customHeight="1"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ht="15.75" customHeight="1"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</row>
    <row r="657" ht="15.75" customHeight="1"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ht="15.75" customHeight="1"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</row>
    <row r="659" ht="15.75" customHeight="1"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ht="15.75" customHeight="1"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</row>
    <row r="661" ht="15.75" customHeight="1"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</row>
    <row r="662" ht="15.75" customHeight="1"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ht="15.75" customHeight="1"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ht="15.75" customHeight="1"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</row>
    <row r="665" ht="15.75" customHeight="1"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</row>
    <row r="666" ht="15.75" customHeight="1"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ht="15.75" customHeight="1"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</row>
    <row r="668" ht="15.75" customHeight="1"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</row>
    <row r="669" ht="15.75" customHeight="1"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ht="15.75" customHeight="1"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</row>
    <row r="671" ht="15.75" customHeight="1"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ht="15.75" customHeight="1"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</row>
    <row r="673" ht="15.75" customHeight="1"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</row>
    <row r="674" ht="15.75" customHeight="1"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ht="15.75" customHeight="1"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</row>
    <row r="676" ht="15.75" customHeight="1"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</row>
    <row r="677" ht="15.75" customHeight="1"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</row>
    <row r="678" ht="15.75" customHeight="1"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</row>
    <row r="679" ht="15.75" customHeight="1"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</row>
    <row r="680" ht="15.75" customHeight="1"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</row>
    <row r="681" ht="15.75" customHeight="1"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</row>
    <row r="682" ht="15.75" customHeight="1"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</row>
    <row r="683" ht="15.75" customHeight="1"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ht="15.75" customHeight="1"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ht="15.75" customHeight="1"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</row>
    <row r="686" ht="15.75" customHeight="1"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</row>
    <row r="687" ht="15.75" customHeight="1"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</row>
    <row r="688" ht="15.75" customHeight="1"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</row>
    <row r="689" ht="15.75" customHeight="1"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</row>
    <row r="690" ht="15.75" customHeight="1"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ht="15.75" customHeight="1"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</row>
    <row r="692" ht="15.75" customHeight="1"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</row>
    <row r="693" ht="15.75" customHeight="1"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</row>
    <row r="694" ht="15.75" customHeight="1"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</row>
    <row r="695" ht="15.75" customHeight="1"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</row>
    <row r="696" ht="15.75" customHeight="1"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</row>
    <row r="697" ht="15.75" customHeight="1"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</row>
    <row r="698" ht="15.75" customHeight="1"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</row>
    <row r="699" ht="15.75" customHeight="1"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</row>
    <row r="700" ht="15.75" customHeight="1"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</row>
    <row r="701" ht="15.75" customHeight="1"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</row>
    <row r="702" ht="15.75" customHeight="1"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</row>
    <row r="703" ht="15.75" customHeight="1"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</row>
    <row r="704" ht="15.75" customHeight="1"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</row>
    <row r="705" ht="15.75" customHeight="1"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</row>
    <row r="706" ht="15.75" customHeight="1"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</row>
    <row r="707" ht="15.75" customHeight="1"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</row>
    <row r="708" ht="15.75" customHeight="1"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</row>
    <row r="709" ht="15.75" customHeight="1"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</row>
    <row r="710" ht="15.75" customHeight="1"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</row>
    <row r="711" ht="15.75" customHeight="1"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ht="15.75" customHeight="1"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</row>
    <row r="713" ht="15.75" customHeight="1"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</row>
    <row r="714" ht="15.75" customHeight="1"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ht="15.75" customHeight="1"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</row>
    <row r="716" ht="15.75" customHeight="1"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</row>
    <row r="717" ht="15.75" customHeight="1"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</row>
    <row r="718" ht="15.75" customHeight="1"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ht="15.75" customHeight="1"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</row>
    <row r="720" ht="15.75" customHeight="1"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</row>
    <row r="721" ht="15.75" customHeight="1"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</row>
    <row r="722" ht="15.75" customHeight="1"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</row>
    <row r="723" ht="15.75" customHeight="1"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</row>
    <row r="724" ht="15.75" customHeight="1"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</row>
    <row r="725" ht="15.75" customHeight="1"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</row>
    <row r="726" ht="15.75" customHeight="1"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</row>
    <row r="727" ht="15.75" customHeight="1"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</row>
    <row r="728" ht="15.75" customHeight="1"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</row>
    <row r="729" ht="15.75" customHeight="1"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</row>
    <row r="730" ht="15.75" customHeight="1"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</row>
    <row r="731" ht="15.75" customHeight="1"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ht="15.75" customHeight="1"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</row>
    <row r="733" ht="15.75" customHeight="1"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</row>
    <row r="734" ht="15.75" customHeight="1"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</row>
    <row r="735" ht="15.75" customHeight="1"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</row>
    <row r="736" ht="15.75" customHeight="1"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ht="15.75" customHeight="1"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</row>
    <row r="738" ht="15.75" customHeight="1"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</row>
    <row r="739" ht="15.75" customHeight="1"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</row>
    <row r="740" ht="15.75" customHeight="1"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</row>
    <row r="741" ht="15.75" customHeight="1"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ht="15.75" customHeight="1"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</row>
    <row r="743" ht="15.75" customHeight="1"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</row>
    <row r="744" ht="15.75" customHeight="1"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</row>
    <row r="745" ht="15.75" customHeight="1"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</row>
    <row r="746" ht="15.75" customHeight="1"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</row>
    <row r="747" ht="15.75" customHeight="1"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</row>
    <row r="748" ht="15.75" customHeight="1"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</row>
    <row r="749" ht="15.75" customHeight="1"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</row>
    <row r="750" ht="15.75" customHeight="1"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</row>
    <row r="751" ht="15.75" customHeight="1"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</row>
    <row r="752" ht="15.75" customHeight="1"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</row>
    <row r="753" ht="15.75" customHeight="1"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</row>
    <row r="754" ht="15.75" customHeight="1"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</row>
    <row r="755" ht="15.75" customHeight="1"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</row>
    <row r="756" ht="15.75" customHeight="1"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</row>
    <row r="757" ht="15.75" customHeight="1"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ht="15.75" customHeight="1"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</row>
    <row r="759" ht="15.75" customHeight="1"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</row>
    <row r="760" ht="15.75" customHeight="1"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</row>
    <row r="761" ht="15.75" customHeight="1"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ht="15.75" customHeight="1"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</row>
    <row r="763" ht="15.75" customHeight="1"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</row>
    <row r="764" ht="15.75" customHeight="1"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</row>
    <row r="765" ht="15.75" customHeight="1"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ht="15.75" customHeight="1"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</row>
    <row r="767" ht="15.75" customHeight="1"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ht="15.75" customHeight="1"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</row>
    <row r="769" ht="15.75" customHeight="1"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</row>
    <row r="770" ht="15.75" customHeight="1"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</row>
    <row r="771" ht="15.75" customHeight="1"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</row>
    <row r="772" ht="15.75" customHeight="1"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</row>
    <row r="773" ht="15.75" customHeight="1"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</row>
    <row r="774" ht="15.75" customHeight="1"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</row>
    <row r="775" ht="15.75" customHeight="1"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</row>
    <row r="776" ht="15.75" customHeight="1"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</row>
    <row r="777" ht="15.75" customHeight="1"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</row>
    <row r="778" ht="15.75" customHeight="1"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</row>
    <row r="779" ht="15.75" customHeight="1"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</row>
    <row r="780" ht="15.75" customHeight="1"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</row>
    <row r="781" ht="15.75" customHeight="1"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</row>
    <row r="782" ht="15.75" customHeight="1"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</row>
    <row r="783" ht="15.75" customHeight="1"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</row>
    <row r="784" ht="15.75" customHeight="1"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</row>
    <row r="785" ht="15.75" customHeight="1"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</row>
    <row r="786" ht="15.75" customHeight="1"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</row>
    <row r="787" ht="15.75" customHeight="1"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ht="15.75" customHeight="1"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</row>
    <row r="789" ht="15.75" customHeight="1"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</row>
    <row r="790" ht="15.75" customHeight="1"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ht="15.75" customHeight="1"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</row>
    <row r="792" ht="15.75" customHeight="1"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</row>
    <row r="793" ht="15.75" customHeight="1"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ht="15.75" customHeight="1"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</row>
    <row r="795" ht="15.75" customHeight="1"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</row>
    <row r="796" ht="15.75" customHeight="1"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</row>
    <row r="797" ht="15.75" customHeight="1"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</row>
    <row r="798" ht="15.75" customHeight="1"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ht="15.75" customHeight="1"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ht="15.75" customHeight="1"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ht="15.75" customHeight="1"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</row>
    <row r="802" ht="15.75" customHeight="1"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</row>
    <row r="803" ht="15.75" customHeight="1"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</row>
    <row r="804" ht="15.75" customHeight="1"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ht="15.75" customHeight="1"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</row>
    <row r="806" ht="15.75" customHeight="1"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ht="15.75" customHeight="1"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ht="15.75" customHeight="1"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</row>
    <row r="809" ht="15.75" customHeight="1"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</row>
    <row r="810" ht="15.75" customHeight="1"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</row>
    <row r="811" ht="15.75" customHeight="1"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</row>
    <row r="812" ht="15.75" customHeight="1"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</row>
    <row r="813" ht="15.75" customHeight="1"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</row>
    <row r="814" ht="15.75" customHeight="1"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</row>
    <row r="815" ht="15.75" customHeight="1"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ht="15.75" customHeight="1"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</row>
    <row r="817" ht="15.75" customHeight="1"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</row>
    <row r="818" ht="15.75" customHeight="1"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</row>
    <row r="819" ht="15.75" customHeight="1"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</row>
    <row r="820" ht="15.75" customHeight="1"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</row>
    <row r="821" ht="15.75" customHeight="1"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ht="15.75" customHeight="1"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</row>
    <row r="823" ht="15.75" customHeight="1"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</row>
    <row r="824" ht="15.75" customHeight="1"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</row>
    <row r="825" ht="15.75" customHeight="1"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ht="15.75" customHeight="1"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</row>
    <row r="827" ht="15.75" customHeight="1"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</row>
    <row r="828" ht="15.75" customHeight="1"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</row>
    <row r="829" ht="15.75" customHeight="1"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</row>
    <row r="830" ht="15.75" customHeight="1"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</row>
    <row r="831" ht="15.75" customHeight="1"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</row>
    <row r="832" ht="15.75" customHeight="1"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</row>
    <row r="833" ht="15.75" customHeight="1"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</row>
    <row r="834" ht="15.75" customHeight="1"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</row>
    <row r="835" ht="15.75" customHeight="1"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ht="15.75" customHeight="1"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</row>
    <row r="837" ht="15.75" customHeight="1"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</row>
    <row r="838" ht="15.75" customHeight="1"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ht="15.75" customHeight="1"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ht="15.75" customHeight="1"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</row>
    <row r="841" ht="15.75" customHeight="1"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ht="15.75" customHeight="1"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ht="15.75" customHeight="1"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ht="15.75" customHeight="1"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</row>
    <row r="845" ht="15.75" customHeight="1"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ht="15.75" customHeight="1"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ht="15.75" customHeight="1"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</row>
    <row r="848" ht="15.75" customHeight="1"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ht="15.75" customHeight="1"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</row>
    <row r="850" ht="15.75" customHeight="1"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ht="15.75" customHeight="1"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ht="15.75" customHeight="1"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</row>
    <row r="853" ht="15.75" customHeight="1"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ht="15.75" customHeight="1"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ht="15.75" customHeight="1"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</row>
    <row r="856" ht="15.75" customHeight="1"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ht="15.75" customHeight="1"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ht="15.75" customHeight="1"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</row>
    <row r="859" ht="15.75" customHeight="1"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ht="15.75" customHeight="1"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ht="15.75" customHeight="1"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ht="15.75" customHeight="1"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ht="15.75" customHeight="1"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ht="15.75" customHeight="1"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ht="15.75" customHeight="1"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ht="15.75" customHeight="1"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ht="15.75" customHeight="1"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</row>
    <row r="868" ht="15.75" customHeight="1"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ht="15.75" customHeight="1"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ht="15.75" customHeight="1"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ht="15.75" customHeight="1"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</row>
    <row r="872" ht="15.75" customHeight="1"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ht="15.75" customHeight="1"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ht="15.75" customHeight="1"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</row>
    <row r="875" ht="15.75" customHeight="1"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ht="15.75" customHeight="1"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ht="15.75" customHeight="1"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</row>
    <row r="878" ht="15.75" customHeight="1"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ht="15.75" customHeight="1"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ht="15.75" customHeight="1"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</row>
    <row r="881" ht="15.75" customHeight="1"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ht="15.75" customHeight="1"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ht="15.75" customHeight="1"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</row>
    <row r="884" ht="15.75" customHeight="1"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ht="15.75" customHeight="1"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</row>
    <row r="886" ht="15.75" customHeight="1"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</row>
    <row r="887" ht="15.75" customHeight="1"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ht="15.75" customHeight="1"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ht="15.75" customHeight="1"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</row>
    <row r="890" ht="15.75" customHeight="1"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ht="15.75" customHeight="1"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ht="15.75" customHeight="1"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</row>
    <row r="893" ht="15.75" customHeight="1"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ht="15.75" customHeight="1"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</row>
    <row r="895" ht="15.75" customHeight="1"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ht="15.75" customHeight="1"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ht="15.75" customHeight="1"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ht="15.75" customHeight="1"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ht="15.75" customHeight="1"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</row>
    <row r="900" ht="15.75" customHeight="1"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ht="15.75" customHeight="1"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</row>
    <row r="902" ht="15.75" customHeight="1"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ht="15.75" customHeight="1"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</row>
    <row r="904" ht="15.75" customHeight="1"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</row>
    <row r="905" ht="15.75" customHeight="1"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</row>
    <row r="906" ht="15.75" customHeight="1"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ht="15.75" customHeight="1"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ht="15.75" customHeight="1"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ht="15.75" customHeight="1"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</row>
    <row r="910" ht="15.75" customHeight="1"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ht="15.75" customHeight="1"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</row>
    <row r="912" ht="15.75" customHeight="1"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ht="15.75" customHeight="1"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</row>
    <row r="914" ht="15.75" customHeight="1"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ht="15.75" customHeight="1"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</row>
    <row r="916" ht="15.75" customHeight="1"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ht="15.75" customHeight="1"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</row>
    <row r="918" ht="15.75" customHeight="1"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ht="15.75" customHeight="1"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</row>
    <row r="920" ht="15.75" customHeight="1"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ht="15.75" customHeight="1"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ht="15.75" customHeight="1"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ht="15.75" customHeight="1"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ht="15.75" customHeight="1"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ht="15.75" customHeight="1"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</row>
    <row r="926" ht="15.75" customHeight="1"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ht="15.75" customHeight="1"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ht="15.75" customHeight="1"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ht="15.75" customHeight="1"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ht="15.75" customHeight="1"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ht="15.75" customHeight="1"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</row>
    <row r="932" ht="15.75" customHeight="1"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ht="15.75" customHeight="1"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ht="15.75" customHeight="1"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ht="15.75" customHeight="1"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</row>
    <row r="936" ht="15.75" customHeight="1"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ht="15.75" customHeight="1"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ht="15.75" customHeight="1"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</row>
    <row r="939" ht="15.75" customHeight="1"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ht="15.75" customHeight="1"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ht="15.75" customHeight="1"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</row>
    <row r="942" ht="15.75" customHeight="1"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ht="15.75" customHeight="1"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ht="15.75" customHeight="1"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ht="15.75" customHeight="1"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</row>
    <row r="946" ht="15.75" customHeight="1"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</row>
    <row r="947" ht="15.75" customHeight="1"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</row>
    <row r="948" ht="15.75" customHeight="1"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ht="15.75" customHeight="1"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</row>
    <row r="950" ht="15.75" customHeight="1"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</row>
    <row r="951" ht="15.75" customHeight="1"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ht="15.75" customHeight="1"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ht="15.75" customHeight="1"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ht="15.75" customHeight="1"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</row>
    <row r="955" ht="15.75" customHeight="1"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ht="15.75" customHeight="1"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ht="15.75" customHeight="1"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</row>
    <row r="958" ht="15.75" customHeight="1"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</row>
    <row r="959" ht="15.75" customHeight="1"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</row>
    <row r="960" ht="15.75" customHeight="1"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</row>
    <row r="961" ht="15.75" customHeight="1"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ht="15.75" customHeight="1"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ht="15.75" customHeight="1"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ht="15.75" customHeight="1"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ht="15.75" customHeight="1"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ht="15.75" customHeight="1"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ht="15.75" customHeight="1"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ht="15.75" customHeight="1"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ht="15.75" customHeight="1"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ht="15.75" customHeight="1"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</row>
    <row r="971" ht="15.75" customHeight="1"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</row>
    <row r="972" ht="15.75" customHeight="1"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ht="15.75" customHeight="1"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ht="15.75" customHeight="1"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ht="15.75" customHeight="1"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ht="15.75" customHeight="1"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ht="15.75" customHeight="1"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ht="15.75" customHeight="1"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ht="15.75" customHeight="1"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</row>
    <row r="980" ht="15.75" customHeight="1"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ht="15.75" customHeight="1"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</row>
    <row r="982" ht="15.75" customHeight="1"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ht="15.75" customHeight="1"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</row>
    <row r="984" ht="15.75" customHeight="1"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ht="15.75" customHeight="1"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</row>
    <row r="986" ht="15.75" customHeight="1"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ht="15.75" customHeight="1"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</row>
    <row r="988" ht="15.75" customHeight="1"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ht="15.75" customHeight="1"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</row>
    <row r="990" ht="15.75" customHeight="1"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ht="15.75" customHeight="1"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</row>
    <row r="992" ht="15.75" customHeight="1"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ht="15.75" customHeight="1"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</row>
    <row r="994" ht="15.75" customHeight="1"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ht="15.75" customHeight="1"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ht="15.75" customHeight="1"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ht="15.75" customHeight="1"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ht="15.75" customHeight="1"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ht="15.75" customHeight="1"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86"/>
    <col customWidth="1" min="2" max="2" width="16.71"/>
    <col customWidth="1" min="3" max="3" width="22.86"/>
    <col customWidth="1" min="4" max="4" width="14.29"/>
    <col customWidth="1" min="5" max="5" width="16.86"/>
    <col customWidth="1" min="6" max="6" width="22.43"/>
    <col customWidth="1" min="7" max="7" width="11.43"/>
    <col customWidth="1" min="8" max="8" width="17.14"/>
    <col customWidth="1" min="9" max="9" width="20.57"/>
    <col customWidth="1" min="10" max="10" width="16.57"/>
    <col customWidth="1" min="11" max="11" width="17.29"/>
    <col customWidth="1" min="12" max="12" width="15.71"/>
    <col customWidth="1" min="13" max="14" width="10.29"/>
    <col customWidth="1" min="15" max="15" width="13.43"/>
    <col customWidth="1" min="16" max="16" width="7.43"/>
    <col customWidth="1" min="17" max="17" width="9.71"/>
    <col customWidth="1" min="18" max="18" width="20.86"/>
    <col customWidth="1" min="19" max="27" width="8.71"/>
  </cols>
  <sheetData>
    <row r="1">
      <c r="A1" s="2" t="s">
        <v>1</v>
      </c>
      <c r="B1" s="2" t="s">
        <v>11</v>
      </c>
      <c r="C1" s="4" t="s">
        <v>12</v>
      </c>
      <c r="D1" s="4" t="s">
        <v>13</v>
      </c>
      <c r="E1" s="4" t="s">
        <v>15</v>
      </c>
      <c r="F1" s="4" t="s">
        <v>18</v>
      </c>
      <c r="G1" s="4" t="s">
        <v>21</v>
      </c>
      <c r="H1" s="4" t="s">
        <v>23</v>
      </c>
      <c r="I1" s="4" t="s">
        <v>25</v>
      </c>
      <c r="J1" s="4" t="s">
        <v>27</v>
      </c>
      <c r="K1" s="4" t="s">
        <v>28</v>
      </c>
      <c r="L1" s="8" t="s">
        <v>32</v>
      </c>
      <c r="M1" s="8" t="s">
        <v>34</v>
      </c>
      <c r="N1" s="8" t="s">
        <v>35</v>
      </c>
      <c r="O1" s="8" t="s">
        <v>36</v>
      </c>
      <c r="P1" s="8" t="s">
        <v>37</v>
      </c>
      <c r="Q1" s="10" t="s">
        <v>41</v>
      </c>
    </row>
    <row r="2">
      <c r="A2" s="17" t="str">
        <f>TABELA_TECNICA!A2</f>
        <v>blackberries, raw</v>
      </c>
      <c r="B2" s="18">
        <v>1000.0</v>
      </c>
      <c r="C2" s="19">
        <f>IFERROR((B2/100)*VLOOKUP($A2,TABELA_TECNICA!$A:$R,2,FALSE),"")
</f>
        <v>430</v>
      </c>
      <c r="D2" s="19">
        <f>IFERROR((B2/100)*VLOOKUP($A2,TABELA_TECNICA!$A:$R,3,FALSE),"")
</f>
        <v>96.1</v>
      </c>
      <c r="E2" s="19">
        <f>IFERROR((B2/100)*VLOOKUP($A2,TABELA_TECNICA!$A:$R,4,FALSE),"")
</f>
        <v>48.8</v>
      </c>
      <c r="F2" s="19">
        <f>IFERROR((B2/100)*VLOOKUP($A2,TABELA_TECNICA!$A:$R,5,FALSE),"")
</f>
        <v>0</v>
      </c>
      <c r="G2" s="19">
        <f>IFERROR((B2/100)*VLOOKUP($A2,TABELA_TECNICA!$A:$R,6,FALSE),"")
</f>
        <v>13.9</v>
      </c>
      <c r="H2" s="19">
        <f>IFERROR((B2/100)*VLOOKUP($A2,TABELA_TECNICA!$A:$R,7,FALSE),"")
</f>
        <v>4.9</v>
      </c>
      <c r="I2" s="19">
        <f>IFERROR((B2/100)*VLOOKUP($A2,TABELA_TECNICA!$A:$R,8,FALSE),"")
</f>
        <v>0.1</v>
      </c>
      <c r="J2" s="19">
        <f>IFERROR((B2/100)*VLOOKUP($A2,TABELA_TECNICA!$A:$R,9,FALSE),"")
</f>
        <v>0</v>
      </c>
      <c r="K2" s="19">
        <f>IFERROR((B2/100)*VLOOKUP($A2,TABELA_TECNICA!$A:$R,10,FALSE),"")
</f>
        <v>0.5</v>
      </c>
      <c r="L2" s="19">
        <f>IFERROR((B2/100)*VLOOKUP($A2,TABELA_TECNICA!$A:$R,11,FALSE),"")
</f>
        <v>2.8</v>
      </c>
      <c r="M2" s="19">
        <f>IFERROR((B2/100)*VLOOKUP($A2,TABELA_TECNICA!$A:$R,12,FALSE),"")
</f>
        <v>0</v>
      </c>
      <c r="N2" s="19">
        <f>IFERROR((B2/100)*VLOOKUP($A2,TABELA_TECNICA!$A:$R,13,FALSE),"")
</f>
        <v>0</v>
      </c>
      <c r="O2" s="19">
        <f>IFERROR((B2/100)*VLOOKUP($A2,TABELA_TECNICA!$A:$R,14,FALSE),"")</f>
        <v>0</v>
      </c>
      <c r="P2" s="19">
        <f>IFERROR((B2/100)*VLOOKUP($A2,TABELA_TECNICA!$A:$R,15,FALSE),"")
</f>
        <v>53</v>
      </c>
      <c r="Q2" s="25">
        <f>IFERROR((B2/100)*VLOOKUP($A2,TABELA_TECNICA!$A:$R,16,FALSE),"")
</f>
        <v>10</v>
      </c>
    </row>
    <row r="3">
      <c r="A3" s="26" t="str">
        <f>TABELA_TECNICA!A3</f>
        <v>açúcar cristal</v>
      </c>
      <c r="B3" s="27">
        <v>1000.0</v>
      </c>
      <c r="C3" s="28">
        <f>IFERROR((B3/100)*VLOOKUP($A3,TABELA_TECNICA!$A:$R,2,FALSE),"")
</f>
        <v>0</v>
      </c>
      <c r="D3" s="28">
        <f>IFERROR((B3/100)*VLOOKUP($A3,TABELA_TECNICA!$A:$R,3,FALSE),"")
</f>
        <v>995</v>
      </c>
      <c r="E3" s="28">
        <f>IFERROR((B3/100)*VLOOKUP($A3,TABELA_TECNICA!$A:$R,4,FALSE),"")
</f>
        <v>995</v>
      </c>
      <c r="F3" s="28">
        <f>IFERROR((B3/100)*VLOOKUP($A3,TABELA_TECNICA!$A:$R,5,FALSE),"")
</f>
        <v>995</v>
      </c>
      <c r="G3" s="28">
        <f>IFERROR((B3/100)*VLOOKUP($A3,TABELA_TECNICA!$A:$R,6,FALSE),"")
</f>
        <v>3</v>
      </c>
      <c r="H3" s="28">
        <f>IFERROR((B3/100)*VLOOKUP($A3,TABELA_TECNICA!$A:$R,7,FALSE),"")
</f>
        <v>0</v>
      </c>
      <c r="I3" s="28">
        <f>IFERROR((B3/100)*VLOOKUP($A3,TABELA_TECNICA!$A:$R,8,FALSE),"")
</f>
        <v>0</v>
      </c>
      <c r="J3" s="28">
        <f>IFERROR((B3/100)*VLOOKUP($A3,TABELA_TECNICA!$A:$R,9,FALSE),"")
</f>
        <v>0</v>
      </c>
      <c r="K3" s="28">
        <f>IFERROR((B3/100)*VLOOKUP($A3,TABELA_TECNICA!$A:$R,10,FALSE),"")
</f>
        <v>0</v>
      </c>
      <c r="L3" s="28">
        <f>IFERROR((B3/100)*VLOOKUP($A3,TABELA_TECNICA!$A:$R,11,FALSE),"")
</f>
        <v>0</v>
      </c>
      <c r="M3" s="28">
        <f>IFERROR((B3/100)*VLOOKUP($A3,TABELA_TECNICA!$A:$R,12,FALSE),"")
</f>
        <v>0</v>
      </c>
      <c r="N3" s="28">
        <f>IFERROR((B3/100)*VLOOKUP($A3,TABELA_TECNICA!$A:$R,13,FALSE),"")
</f>
        <v>0</v>
      </c>
      <c r="O3" s="28">
        <f>IFERROR((B3/100)*VLOOKUP($A3,TABELA_TECNICA!$A:$R,14,FALSE),"")</f>
        <v>0</v>
      </c>
      <c r="P3" s="28">
        <f>IFERROR((B3/100)*VLOOKUP($A3,TABELA_TECNICA!$A:$R,15,FALSE),"")
</f>
        <v>0</v>
      </c>
      <c r="Q3" s="29">
        <f>IFERROR((B3/100)*VLOOKUP($A3,TABELA_TECNICA!$A:$R,16,FALSE),"")
</f>
        <v>120</v>
      </c>
    </row>
    <row r="4">
      <c r="A4" s="17" t="str">
        <f>TABELA_TECNICA!A4</f>
        <v>Suco de limão</v>
      </c>
      <c r="B4" s="18">
        <v>50.0</v>
      </c>
      <c r="C4" s="19">
        <f>IFERROR((B4/100)*VLOOKUP($A4,TABELA_TECNICA!$A:$R,2,FALSE),"")
</f>
        <v>0</v>
      </c>
      <c r="D4" s="19">
        <f>IFERROR((B4/100)*VLOOKUP($A4,TABELA_TECNICA!$A:$R,3,FALSE),"")
</f>
        <v>3.8</v>
      </c>
      <c r="E4" s="19">
        <f>IFERROR((B4/100)*VLOOKUP($A4,TABELA_TECNICA!$A:$R,4,FALSE),"")
</f>
        <v>0</v>
      </c>
      <c r="F4" s="19">
        <f>IFERROR((B4/100)*VLOOKUP($A4,TABELA_TECNICA!$A:$R,5,FALSE),"")
</f>
        <v>0</v>
      </c>
      <c r="G4" s="19">
        <f>IFERROR((B4/100)*VLOOKUP($A4,TABELA_TECNICA!$A:$R,6,FALSE),"")
</f>
        <v>0.3</v>
      </c>
      <c r="H4" s="19">
        <f>IFERROR((B4/100)*VLOOKUP($A4,TABELA_TECNICA!$A:$R,7,FALSE),"")
</f>
        <v>0.05</v>
      </c>
      <c r="I4" s="19">
        <f>IFERROR((B4/100)*VLOOKUP($A4,TABELA_TECNICA!$A:$R,8,FALSE),"")
</f>
        <v>0</v>
      </c>
      <c r="J4" s="19">
        <f>IFERROR((B4/100)*VLOOKUP($A4,TABELA_TECNICA!$A:$R,9,FALSE),"")
</f>
        <v>0</v>
      </c>
      <c r="K4" s="19">
        <f>IFERROR((B4/100)*VLOOKUP($A4,TABELA_TECNICA!$A:$R,10,FALSE),"")
</f>
        <v>0</v>
      </c>
      <c r="L4" s="19">
        <f>IFERROR((B4/100)*VLOOKUP($A4,TABELA_TECNICA!$A:$R,11,FALSE),"")
</f>
        <v>0</v>
      </c>
      <c r="M4" s="19">
        <f>IFERROR((B4/100)*VLOOKUP($A4,TABELA_TECNICA!$A:$R,12,FALSE),"")
</f>
        <v>0</v>
      </c>
      <c r="N4" s="19">
        <f>IFERROR((B4/100)*VLOOKUP($A4,TABELA_TECNICA!$A:$R,13,FALSE),"")
</f>
        <v>0</v>
      </c>
      <c r="O4" s="19">
        <f>IFERROR((B4/100)*VLOOKUP($A4,TABELA_TECNICA!$A:$R,14,FALSE),"")</f>
        <v>0</v>
      </c>
      <c r="P4" s="19">
        <f>IFERROR((B4/100)*VLOOKUP($A4,TABELA_TECNICA!$A:$R,15,FALSE),"")
</f>
        <v>0</v>
      </c>
      <c r="Q4" s="25">
        <f>IFERROR((B4/100)*VLOOKUP($A4,TABELA_TECNICA!$A:$R,16,FALSE),"")
</f>
        <v>0</v>
      </c>
    </row>
    <row r="5">
      <c r="A5" s="26" t="str">
        <f>TABELA_TECNICA!A5</f>
        <v/>
      </c>
      <c r="B5" s="27"/>
      <c r="C5" s="28" t="str">
        <f>IFERROR((B5/100)*VLOOKUP($A5,TABELA_TECNICA!$A:$R,2,FALSE),"")
</f>
        <v/>
      </c>
      <c r="D5" s="28" t="str">
        <f>IFERROR((B5/100)*VLOOKUP($A5,TABELA_TECNICA!$A:$R,3,FALSE),"")
</f>
        <v/>
      </c>
      <c r="E5" s="28" t="str">
        <f>IFERROR((B5/100)*VLOOKUP($A5,TABELA_TECNICA!$A:$R,4,FALSE),"")
</f>
        <v/>
      </c>
      <c r="F5" s="28" t="str">
        <f>IFERROR((B5/100)*VLOOKUP($A5,TABELA_TECNICA!$A:$R,5,FALSE),"")
</f>
        <v/>
      </c>
      <c r="G5" s="28" t="str">
        <f>IFERROR((B5/100)*VLOOKUP($A5,TABELA_TECNICA!$A:$R,6,FALSE),"")
</f>
        <v/>
      </c>
      <c r="H5" s="28" t="str">
        <f>IFERROR((B5/100)*VLOOKUP($A5,TABELA_TECNICA!$A:$R,7,FALSE),"")
</f>
        <v/>
      </c>
      <c r="I5" s="28" t="str">
        <f>IFERROR((B5/100)*VLOOKUP($A5,TABELA_TECNICA!$A:$R,8,FALSE),"")
</f>
        <v/>
      </c>
      <c r="J5" s="28" t="str">
        <f>IFERROR((B5/100)*VLOOKUP($A5,TABELA_TECNICA!$A:$R,9,FALSE),"")
</f>
        <v/>
      </c>
      <c r="K5" s="28" t="str">
        <f>IFERROR((B5/100)*VLOOKUP($A5,TABELA_TECNICA!$A:$R,10,FALSE),"")
</f>
        <v/>
      </c>
      <c r="L5" s="28" t="str">
        <f>IFERROR((B5/100)*VLOOKUP($A5,TABELA_TECNICA!$A:$R,11,FALSE),"")
</f>
        <v/>
      </c>
      <c r="M5" s="28" t="str">
        <f>IFERROR((B5/100)*VLOOKUP($A5,TABELA_TECNICA!$A:$R,12,FALSE),"")
</f>
        <v/>
      </c>
      <c r="N5" s="28" t="str">
        <f>IFERROR((B5/100)*VLOOKUP($A5,TABELA_TECNICA!$A:$R,13,FALSE),"")
</f>
        <v/>
      </c>
      <c r="O5" s="28" t="str">
        <f>IFERROR((B5/100)*VLOOKUP($A5,TABELA_TECNICA!$A:$R,14,FALSE),"")</f>
        <v/>
      </c>
      <c r="P5" s="28" t="str">
        <f>IFERROR((B5/100)*VLOOKUP($A5,TABELA_TECNICA!$A:$R,15,FALSE),"")
</f>
        <v/>
      </c>
      <c r="Q5" s="29" t="str">
        <f>IFERROR((B5/100)*VLOOKUP($A5,TABELA_TECNICA!$A:$R,16,FALSE),"")
</f>
        <v/>
      </c>
    </row>
    <row r="6">
      <c r="A6" s="17" t="str">
        <f>TABELA_TECNICA!A6</f>
        <v/>
      </c>
      <c r="B6" s="18"/>
      <c r="C6" s="19" t="str">
        <f>IFERROR((B6/100)*VLOOKUP($A6,TABELA_TECNICA!$A:$R,2,FALSE),"")
</f>
        <v/>
      </c>
      <c r="D6" s="19" t="str">
        <f>IFERROR((B6/100)*VLOOKUP($A6,TABELA_TECNICA!$A:$R,3,FALSE),"")
</f>
        <v/>
      </c>
      <c r="E6" s="19" t="str">
        <f>IFERROR((B6/100)*VLOOKUP($A6,TABELA_TECNICA!$A:$R,4,FALSE),"")
</f>
        <v/>
      </c>
      <c r="F6" s="19" t="str">
        <f>IFERROR((B6/100)*VLOOKUP($A6,TABELA_TECNICA!$A:$R,5,FALSE),"")
</f>
        <v/>
      </c>
      <c r="G6" s="19" t="str">
        <f>IFERROR((B6/100)*VLOOKUP($A6,TABELA_TECNICA!$A:$R,6,FALSE),"")
</f>
        <v/>
      </c>
      <c r="H6" s="19" t="str">
        <f>IFERROR((B6/100)*VLOOKUP($A6,TABELA_TECNICA!$A:$R,7,FALSE),"")
</f>
        <v/>
      </c>
      <c r="I6" s="19" t="str">
        <f>IFERROR((B6/100)*VLOOKUP($A6,TABELA_TECNICA!$A:$R,8,FALSE),"")
</f>
        <v/>
      </c>
      <c r="J6" s="19" t="str">
        <f>IFERROR((B6/100)*VLOOKUP($A6,TABELA_TECNICA!$A:$R,9,FALSE),"")
</f>
        <v/>
      </c>
      <c r="K6" s="19" t="str">
        <f>IFERROR((B6/100)*VLOOKUP($A6,TABELA_TECNICA!$A:$R,10,FALSE),"")
</f>
        <v/>
      </c>
      <c r="L6" s="19" t="str">
        <f>IFERROR((B6/100)*VLOOKUP($A6,TABELA_TECNICA!$A:$R,11,FALSE),"")
</f>
        <v/>
      </c>
      <c r="M6" s="19" t="str">
        <f>IFERROR((B6/100)*VLOOKUP($A6,TABELA_TECNICA!$A:$R,12,FALSE),"")
</f>
        <v/>
      </c>
      <c r="N6" s="19" t="str">
        <f>IFERROR((B6/100)*VLOOKUP($A6,TABELA_TECNICA!$A:$R,13,FALSE),"")
</f>
        <v/>
      </c>
      <c r="O6" s="19" t="str">
        <f>IFERROR((B6/100)*VLOOKUP($A6,TABELA_TECNICA!$A:$R,14,FALSE),"")</f>
        <v/>
      </c>
      <c r="P6" s="19" t="str">
        <f>IFERROR((B6/100)*VLOOKUP($A6,TABELA_TECNICA!$A:$R,15,FALSE),"")
</f>
        <v/>
      </c>
      <c r="Q6" s="25" t="str">
        <f>IFERROR((B6/100)*VLOOKUP($A6,TABELA_TECNICA!$A:$R,16,FALSE),"")
</f>
        <v/>
      </c>
    </row>
    <row r="7">
      <c r="A7" s="26" t="str">
        <f>TABELA_TECNICA!A7</f>
        <v/>
      </c>
      <c r="B7" s="27"/>
      <c r="C7" s="28" t="str">
        <f>IFERROR((B7/100)*VLOOKUP($A7,TABELA_TECNICA!$A:$R,2,FALSE),"")
</f>
        <v/>
      </c>
      <c r="D7" s="28" t="str">
        <f>IFERROR((B7/100)*VLOOKUP($A7,TABELA_TECNICA!$A:$R,3,FALSE),"")
</f>
        <v/>
      </c>
      <c r="E7" s="28" t="str">
        <f>IFERROR((B7/100)*VLOOKUP($A7,TABELA_TECNICA!$A:$R,4,FALSE),"")
</f>
        <v/>
      </c>
      <c r="F7" s="28" t="str">
        <f>IFERROR((B7/100)*VLOOKUP($A7,TABELA_TECNICA!$A:$R,5,FALSE),"")
</f>
        <v/>
      </c>
      <c r="G7" s="28" t="str">
        <f>IFERROR((B7/100)*VLOOKUP($A7,TABELA_TECNICA!$A:$R,6,FALSE),"")
</f>
        <v/>
      </c>
      <c r="H7" s="28" t="str">
        <f>IFERROR((B7/100)*VLOOKUP($A7,TABELA_TECNICA!$A:$R,7,FALSE),"")
</f>
        <v/>
      </c>
      <c r="I7" s="28" t="str">
        <f>IFERROR((B7/100)*VLOOKUP($A7,TABELA_TECNICA!$A:$R,8,FALSE),"")
</f>
        <v/>
      </c>
      <c r="J7" s="28" t="str">
        <f>IFERROR((B7/100)*VLOOKUP($A7,TABELA_TECNICA!$A:$R,9,FALSE),"")
</f>
        <v/>
      </c>
      <c r="K7" s="28" t="str">
        <f>IFERROR((B7/100)*VLOOKUP($A7,TABELA_TECNICA!$A:$R,10,FALSE),"")
</f>
        <v/>
      </c>
      <c r="L7" s="28" t="str">
        <f>IFERROR((B7/100)*VLOOKUP($A7,TABELA_TECNICA!$A:$R,11,FALSE),"")
</f>
        <v/>
      </c>
      <c r="M7" s="28" t="str">
        <f>IFERROR((B7/100)*VLOOKUP($A7,TABELA_TECNICA!$A:$R,12,FALSE),"")
</f>
        <v/>
      </c>
      <c r="N7" s="28" t="str">
        <f>IFERROR((B7/100)*VLOOKUP($A7,TABELA_TECNICA!$A:$R,13,FALSE),"")
</f>
        <v/>
      </c>
      <c r="O7" s="28" t="str">
        <f>IFERROR((B7/100)*VLOOKUP($A7,TABELA_TECNICA!$A:$R,14,FALSE),"")</f>
        <v/>
      </c>
      <c r="P7" s="28" t="str">
        <f>IFERROR((B7/100)*VLOOKUP($A7,TABELA_TECNICA!$A:$R,15,FALSE),"")
</f>
        <v/>
      </c>
      <c r="Q7" s="29" t="str">
        <f>IFERROR((B7/100)*VLOOKUP($A7,TABELA_TECNICA!$A:$R,16,FALSE),"")
</f>
        <v/>
      </c>
    </row>
    <row r="8">
      <c r="A8" s="17" t="str">
        <f>TABELA_TECNICA!A8</f>
        <v/>
      </c>
      <c r="B8" s="18"/>
      <c r="C8" s="19" t="str">
        <f>IFERROR((B8/100)*VLOOKUP($A8,TABELA_TECNICA!$A:$R,2,FALSE),"")
</f>
        <v/>
      </c>
      <c r="D8" s="19" t="str">
        <f>IFERROR((B8/100)*VLOOKUP($A8,TABELA_TECNICA!$A:$R,3,FALSE),"")
</f>
        <v/>
      </c>
      <c r="E8" s="19" t="str">
        <f>IFERROR((B8/100)*VLOOKUP($A8,TABELA_TECNICA!$A:$R,4,FALSE),"")
</f>
        <v/>
      </c>
      <c r="F8" s="19" t="str">
        <f>IFERROR((B8/100)*VLOOKUP($A8,TABELA_TECNICA!$A:$R,5,FALSE),"")
</f>
        <v/>
      </c>
      <c r="G8" s="19" t="str">
        <f>IFERROR((B8/100)*VLOOKUP($A8,TABELA_TECNICA!$A:$R,6,FALSE),"")
</f>
        <v/>
      </c>
      <c r="H8" s="19" t="str">
        <f>IFERROR((B8/100)*VLOOKUP($A8,TABELA_TECNICA!$A:$R,7,FALSE),"")
</f>
        <v/>
      </c>
      <c r="I8" s="19" t="str">
        <f>IFERROR((B8/100)*VLOOKUP($A8,TABELA_TECNICA!$A:$R,8,FALSE),"")
</f>
        <v/>
      </c>
      <c r="J8" s="19" t="str">
        <f>IFERROR((B8/100)*VLOOKUP($A8,TABELA_TECNICA!$A:$R,9,FALSE),"")
</f>
        <v/>
      </c>
      <c r="K8" s="19" t="str">
        <f>IFERROR((B8/100)*VLOOKUP($A8,TABELA_TECNICA!$A:$R,10,FALSE),"")
</f>
        <v/>
      </c>
      <c r="L8" s="19" t="str">
        <f>IFERROR((B8/100)*VLOOKUP($A8,TABELA_TECNICA!$A:$R,11,FALSE),"")
</f>
        <v/>
      </c>
      <c r="M8" s="19" t="str">
        <f>IFERROR((B8/100)*VLOOKUP($A8,TABELA_TECNICA!$A:$R,12,FALSE),"")
</f>
        <v/>
      </c>
      <c r="N8" s="19" t="str">
        <f>IFERROR((B8/100)*VLOOKUP($A8,TABELA_TECNICA!$A:$R,13,FALSE),"")
</f>
        <v/>
      </c>
      <c r="O8" s="19" t="str">
        <f>IFERROR((B8/100)*VLOOKUP($A8,TABELA_TECNICA!$A:$R,14,FALSE),"")</f>
        <v/>
      </c>
      <c r="P8" s="19" t="str">
        <f>IFERROR((B8/100)*VLOOKUP($A8,TABELA_TECNICA!$A:$R,15,FALSE),"")
</f>
        <v/>
      </c>
      <c r="Q8" s="25" t="str">
        <f>IFERROR((B8/100)*VLOOKUP($A8,TABELA_TECNICA!$A:$R,16,FALSE),"")
</f>
        <v/>
      </c>
    </row>
    <row r="9">
      <c r="A9" s="26" t="str">
        <f>TABELA_TECNICA!A9</f>
        <v/>
      </c>
      <c r="B9" s="27"/>
      <c r="C9" s="28" t="str">
        <f>IFERROR((B9/100)*VLOOKUP($A9,TABELA_TECNICA!$A:$R,2,FALSE),"")
</f>
        <v/>
      </c>
      <c r="D9" s="28" t="str">
        <f>IFERROR((B9/100)*VLOOKUP($A9,TABELA_TECNICA!$A:$R,3,FALSE),"")
</f>
        <v/>
      </c>
      <c r="E9" s="28" t="str">
        <f>IFERROR((B9/100)*VLOOKUP($A9,TABELA_TECNICA!$A:$R,4,FALSE),"")
</f>
        <v/>
      </c>
      <c r="F9" s="28" t="str">
        <f>IFERROR((B9/100)*VLOOKUP($A9,TABELA_TECNICA!$A:$R,5,FALSE),"")
</f>
        <v/>
      </c>
      <c r="G9" s="28" t="str">
        <f>IFERROR((B9/100)*VLOOKUP($A9,TABELA_TECNICA!$A:$R,6,FALSE),"")
</f>
        <v/>
      </c>
      <c r="H9" s="28" t="str">
        <f>IFERROR((B9/100)*VLOOKUP($A9,TABELA_TECNICA!$A:$R,7,FALSE),"")
</f>
        <v/>
      </c>
      <c r="I9" s="28" t="str">
        <f>IFERROR((B9/100)*VLOOKUP($A9,TABELA_TECNICA!$A:$R,8,FALSE),"")
</f>
        <v/>
      </c>
      <c r="J9" s="28" t="str">
        <f>IFERROR((B9/100)*VLOOKUP($A9,TABELA_TECNICA!$A:$R,9,FALSE),"")
</f>
        <v/>
      </c>
      <c r="K9" s="28" t="str">
        <f>IFERROR((B9/100)*VLOOKUP($A9,TABELA_TECNICA!$A:$R,10,FALSE),"")
</f>
        <v/>
      </c>
      <c r="L9" s="28" t="str">
        <f>IFERROR((B9/100)*VLOOKUP($A9,TABELA_TECNICA!$A:$R,11,FALSE),"")
</f>
        <v/>
      </c>
      <c r="M9" s="28" t="str">
        <f>IFERROR((B9/100)*VLOOKUP($A9,TABELA_TECNICA!$A:$R,12,FALSE),"")
</f>
        <v/>
      </c>
      <c r="N9" s="28" t="str">
        <f>IFERROR((B9/100)*VLOOKUP($A9,TABELA_TECNICA!$A:$R,13,FALSE),"")
</f>
        <v/>
      </c>
      <c r="O9" s="28" t="str">
        <f>IFERROR((B9/100)*VLOOKUP($A9,TABELA_TECNICA!$A:$R,14,FALSE),"")</f>
        <v/>
      </c>
      <c r="P9" s="28" t="str">
        <f>IFERROR((B9/100)*VLOOKUP($A9,TABELA_TECNICA!$A:$R,15,FALSE),"")
</f>
        <v/>
      </c>
      <c r="Q9" s="29" t="str">
        <f>IFERROR((B9/100)*VLOOKUP($A9,TABELA_TECNICA!$A:$R,16,FALSE),"")
</f>
        <v/>
      </c>
    </row>
    <row r="10" hidden="1">
      <c r="A10" s="17" t="str">
        <f>TABELA_TECNICA!A10</f>
        <v/>
      </c>
      <c r="B10" s="18"/>
      <c r="C10" s="19" t="str">
        <f>IFERROR((B10/100)*VLOOKUP($A10,TABELA_TECNICA!$A:$R,2,FALSE),"")
</f>
        <v/>
      </c>
      <c r="D10" s="19" t="str">
        <f>IFERROR((B10/100)*VLOOKUP($A10,TABELA_TECNICA!$A:$R,3,FALSE),"")
</f>
        <v/>
      </c>
      <c r="E10" s="19" t="str">
        <f>IFERROR((B10/100)*VLOOKUP($A10,TABELA_TECNICA!$A:$R,4,FALSE),"")
</f>
        <v/>
      </c>
      <c r="F10" s="19" t="str">
        <f>IFERROR((B10/100)*VLOOKUP($A10,TABELA_TECNICA!$A:$R,5,FALSE),"")
</f>
        <v/>
      </c>
      <c r="G10" s="19" t="str">
        <f>IFERROR((B10/100)*VLOOKUP($A10,TABELA_TECNICA!$A:$R,6,FALSE),"")
</f>
        <v/>
      </c>
      <c r="H10" s="19" t="str">
        <f>IFERROR((B10/100)*VLOOKUP($A10,TABELA_TECNICA!$A:$R,7,FALSE),"")
</f>
        <v/>
      </c>
      <c r="I10" s="19" t="str">
        <f>IFERROR((B10/100)*VLOOKUP($A10,TABELA_TECNICA!$A:$R,8,FALSE),"")
</f>
        <v/>
      </c>
      <c r="J10" s="19" t="str">
        <f>IFERROR((B10/100)*VLOOKUP($A10,TABELA_TECNICA!$A:$R,9,FALSE),"")
</f>
        <v/>
      </c>
      <c r="K10" s="19" t="str">
        <f>IFERROR((B10/100)*VLOOKUP($A10,TABELA_TECNICA!$A:$R,10,FALSE),"")
</f>
        <v/>
      </c>
      <c r="L10" s="19" t="str">
        <f>IFERROR((B10/100)*VLOOKUP($A10,TABELA_TECNICA!$A:$R,11,FALSE),"")
</f>
        <v/>
      </c>
      <c r="M10" s="19" t="str">
        <f>IFERROR((B10/100)*VLOOKUP($A10,TABELA_TECNICA!$A:$R,12,FALSE),"")
</f>
        <v/>
      </c>
      <c r="N10" s="19" t="str">
        <f>IFERROR((B10/100)*VLOOKUP($A10,TABELA_TECNICA!$A:$R,13,FALSE),"")
</f>
        <v/>
      </c>
      <c r="O10" s="19" t="str">
        <f>IFERROR((B10/100)*VLOOKUP($A10,TABELA_TECNICA!$A:$R,14,FALSE),"")</f>
        <v/>
      </c>
      <c r="P10" s="19" t="str">
        <f>IFERROR((B10/100)*VLOOKUP($A10,TABELA_TECNICA!$A:$R,15,FALSE),"")
</f>
        <v/>
      </c>
      <c r="Q10" s="25" t="str">
        <f>IFERROR((B10/100)*VLOOKUP($A10,TABELA_TECNICA!$A:$R,16,FALSE),"")
</f>
        <v/>
      </c>
    </row>
    <row r="11" hidden="1">
      <c r="A11" s="26" t="str">
        <f>TABELA_TECNICA!A11</f>
        <v/>
      </c>
      <c r="B11" s="27"/>
      <c r="C11" s="28" t="str">
        <f>IFERROR((B11/100)*VLOOKUP($A11,TABELA_TECNICA!$A:$R,2,FALSE),"")
</f>
        <v/>
      </c>
      <c r="D11" s="28" t="str">
        <f>IFERROR((B11/100)*VLOOKUP($A11,TABELA_TECNICA!$A:$R,3,FALSE),"")
</f>
        <v/>
      </c>
      <c r="E11" s="28" t="str">
        <f>IFERROR((B11/100)*VLOOKUP($A11,TABELA_TECNICA!$A:$R,4,FALSE),"")
</f>
        <v/>
      </c>
      <c r="F11" s="28" t="str">
        <f>IFERROR((B11/100)*VLOOKUP($A11,TABELA_TECNICA!$A:$R,5,FALSE),"")
</f>
        <v/>
      </c>
      <c r="G11" s="28" t="str">
        <f>IFERROR((B11/100)*VLOOKUP($A11,TABELA_TECNICA!$A:$R,6,FALSE),"")
</f>
        <v/>
      </c>
      <c r="H11" s="28" t="str">
        <f>IFERROR((B11/100)*VLOOKUP($A11,TABELA_TECNICA!$A:$R,7,FALSE),"")
</f>
        <v/>
      </c>
      <c r="I11" s="28" t="str">
        <f>IFERROR((B11/100)*VLOOKUP($A11,TABELA_TECNICA!$A:$R,8,FALSE),"")
</f>
        <v/>
      </c>
      <c r="J11" s="28" t="str">
        <f>IFERROR((B11/100)*VLOOKUP($A11,TABELA_TECNICA!$A:$R,9,FALSE),"")
</f>
        <v/>
      </c>
      <c r="K11" s="28" t="str">
        <f>IFERROR((B11/100)*VLOOKUP($A11,TABELA_TECNICA!$A:$R,10,FALSE),"")
</f>
        <v/>
      </c>
      <c r="L11" s="28" t="str">
        <f>IFERROR((B11/100)*VLOOKUP($A11,TABELA_TECNICA!$A:$R,11,FALSE),"")
</f>
        <v/>
      </c>
      <c r="M11" s="28" t="str">
        <f>IFERROR((B11/100)*VLOOKUP($A11,TABELA_TECNICA!$A:$R,12,FALSE),"")
</f>
        <v/>
      </c>
      <c r="N11" s="28" t="str">
        <f>IFERROR((B11/100)*VLOOKUP($A11,TABELA_TECNICA!$A:$R,13,FALSE),"")
</f>
        <v/>
      </c>
      <c r="O11" s="28" t="str">
        <f>IFERROR((B11/100)*VLOOKUP($A11,TABELA_TECNICA!$A:$R,14,FALSE),"")</f>
        <v/>
      </c>
      <c r="P11" s="28" t="str">
        <f>IFERROR((B11/100)*VLOOKUP($A11,TABELA_TECNICA!$A:$R,15,FALSE),"")
</f>
        <v/>
      </c>
      <c r="Q11" s="29" t="str">
        <f>IFERROR((B11/100)*VLOOKUP($A11,TABELA_TECNICA!$A:$R,16,FALSE),"")
</f>
        <v/>
      </c>
    </row>
    <row r="12" hidden="1">
      <c r="A12" s="17" t="str">
        <f>TABELA_TECNICA!A12</f>
        <v/>
      </c>
      <c r="B12" s="18"/>
      <c r="C12" s="19" t="str">
        <f>IFERROR((B12/100)*VLOOKUP($A12,TABELA_TECNICA!$A:$R,2,FALSE),"")
</f>
        <v/>
      </c>
      <c r="D12" s="19" t="str">
        <f>IFERROR((B12/100)*VLOOKUP($A12,TABELA_TECNICA!$A:$R,3,FALSE),"")
</f>
        <v/>
      </c>
      <c r="E12" s="19" t="str">
        <f>IFERROR((B12/100)*VLOOKUP($A12,TABELA_TECNICA!$A:$R,4,FALSE),"")
</f>
        <v/>
      </c>
      <c r="F12" s="19" t="str">
        <f>IFERROR((B12/100)*VLOOKUP($A12,TABELA_TECNICA!$A:$R,5,FALSE),"")
</f>
        <v/>
      </c>
      <c r="G12" s="19" t="str">
        <f>IFERROR((B12/100)*VLOOKUP($A12,TABELA_TECNICA!$A:$R,6,FALSE),"")
</f>
        <v/>
      </c>
      <c r="H12" s="19" t="str">
        <f>IFERROR((B12/100)*VLOOKUP($A12,TABELA_TECNICA!$A:$R,7,FALSE),"")
</f>
        <v/>
      </c>
      <c r="I12" s="19" t="str">
        <f>IFERROR((B12/100)*VLOOKUP($A12,TABELA_TECNICA!$A:$R,8,FALSE),"")
</f>
        <v/>
      </c>
      <c r="J12" s="19" t="str">
        <f>IFERROR((B12/100)*VLOOKUP($A12,TABELA_TECNICA!$A:$R,9,FALSE),"")
</f>
        <v/>
      </c>
      <c r="K12" s="19" t="str">
        <f>IFERROR((B12/100)*VLOOKUP($A12,TABELA_TECNICA!$A:$R,10,FALSE),"")
</f>
        <v/>
      </c>
      <c r="L12" s="19" t="str">
        <f>IFERROR((B12/100)*VLOOKUP($A12,TABELA_TECNICA!$A:$R,11,FALSE),"")
</f>
        <v/>
      </c>
      <c r="M12" s="19" t="str">
        <f>IFERROR((B12/100)*VLOOKUP($A12,TABELA_TECNICA!$A:$R,12,FALSE),"")
</f>
        <v/>
      </c>
      <c r="N12" s="19" t="str">
        <f>IFERROR((B12/100)*VLOOKUP($A12,TABELA_TECNICA!$A:$R,13,FALSE),"")
</f>
        <v/>
      </c>
      <c r="O12" s="19" t="str">
        <f>IFERROR((B12/100)*VLOOKUP($A12,TABELA_TECNICA!$A:$R,14,FALSE),"")</f>
        <v/>
      </c>
      <c r="P12" s="19" t="str">
        <f>IFERROR((B12/100)*VLOOKUP($A12,TABELA_TECNICA!$A:$R,15,FALSE),"")
</f>
        <v/>
      </c>
      <c r="Q12" s="25" t="str">
        <f>IFERROR((B12/100)*VLOOKUP($A12,TABELA_TECNICA!$A:$R,16,FALSE),"")
</f>
        <v/>
      </c>
    </row>
    <row r="13" hidden="1">
      <c r="A13" s="26" t="str">
        <f>TABELA_TECNICA!A13</f>
        <v/>
      </c>
      <c r="B13" s="27"/>
      <c r="C13" s="28" t="str">
        <f>IFERROR((B13/100)*VLOOKUP($A13,TABELA_TECNICA!$A:$R,2,FALSE),"")
</f>
        <v/>
      </c>
      <c r="D13" s="28" t="str">
        <f>IFERROR((B13/100)*VLOOKUP($A13,TABELA_TECNICA!$A:$R,3,FALSE),"")
</f>
        <v/>
      </c>
      <c r="E13" s="28" t="str">
        <f>IFERROR((B13/100)*VLOOKUP($A13,TABELA_TECNICA!$A:$R,4,FALSE),"")
</f>
        <v/>
      </c>
      <c r="F13" s="28" t="str">
        <f>IFERROR((B13/100)*VLOOKUP($A13,TABELA_TECNICA!$A:$R,5,FALSE),"")
</f>
        <v/>
      </c>
      <c r="G13" s="28" t="str">
        <f>IFERROR((B13/100)*VLOOKUP($A13,TABELA_TECNICA!$A:$R,6,FALSE),"")
</f>
        <v/>
      </c>
      <c r="H13" s="28" t="str">
        <f>IFERROR((B13/100)*VLOOKUP($A13,TABELA_TECNICA!$A:$R,7,FALSE),"")
</f>
        <v/>
      </c>
      <c r="I13" s="28" t="str">
        <f>IFERROR((B13/100)*VLOOKUP($A13,TABELA_TECNICA!$A:$R,8,FALSE),"")
</f>
        <v/>
      </c>
      <c r="J13" s="28" t="str">
        <f>IFERROR((B13/100)*VLOOKUP($A13,TABELA_TECNICA!$A:$R,9,FALSE),"")
</f>
        <v/>
      </c>
      <c r="K13" s="28" t="str">
        <f>IFERROR((B13/100)*VLOOKUP($A13,TABELA_TECNICA!$A:$R,10,FALSE),"")
</f>
        <v/>
      </c>
      <c r="L13" s="28" t="str">
        <f>IFERROR((B13/100)*VLOOKUP($A13,TABELA_TECNICA!$A:$R,11,FALSE),"")
</f>
        <v/>
      </c>
      <c r="M13" s="28" t="str">
        <f>IFERROR((B13/100)*VLOOKUP($A13,TABELA_TECNICA!$A:$R,12,FALSE),"")
</f>
        <v/>
      </c>
      <c r="N13" s="28" t="str">
        <f>IFERROR((B13/100)*VLOOKUP($A13,TABELA_TECNICA!$A:$R,13,FALSE),"")
</f>
        <v/>
      </c>
      <c r="O13" s="28" t="str">
        <f>IFERROR((B13/100)*VLOOKUP($A13,TABELA_TECNICA!$A:$R,14,FALSE),"")</f>
        <v/>
      </c>
      <c r="P13" s="28" t="str">
        <f>IFERROR((B13/100)*VLOOKUP($A13,TABELA_TECNICA!$A:$R,15,FALSE),"")
</f>
        <v/>
      </c>
      <c r="Q13" s="29" t="str">
        <f>IFERROR((B13/100)*VLOOKUP($A13,TABELA_TECNICA!$A:$R,16,FALSE),"")
</f>
        <v/>
      </c>
    </row>
    <row r="14">
      <c r="A14" s="30" t="s">
        <v>83</v>
      </c>
      <c r="B14" s="31"/>
      <c r="C14" s="31">
        <f t="shared" ref="C14:Q14" si="1">SUM(C2:C13)</f>
        <v>430</v>
      </c>
      <c r="D14" s="31">
        <f t="shared" si="1"/>
        <v>1094.9</v>
      </c>
      <c r="E14" s="31">
        <f t="shared" si="1"/>
        <v>1043.8</v>
      </c>
      <c r="F14" s="31">
        <f t="shared" si="1"/>
        <v>995</v>
      </c>
      <c r="G14" s="31">
        <f t="shared" si="1"/>
        <v>17.2</v>
      </c>
      <c r="H14" s="31">
        <f t="shared" si="1"/>
        <v>4.95</v>
      </c>
      <c r="I14" s="31">
        <f t="shared" si="1"/>
        <v>0.1</v>
      </c>
      <c r="J14" s="31">
        <f t="shared" si="1"/>
        <v>0</v>
      </c>
      <c r="K14" s="31">
        <f t="shared" si="1"/>
        <v>0.5</v>
      </c>
      <c r="L14" s="31">
        <f t="shared" si="1"/>
        <v>2.8</v>
      </c>
      <c r="M14" s="31">
        <f t="shared" si="1"/>
        <v>0</v>
      </c>
      <c r="N14" s="31">
        <f t="shared" si="1"/>
        <v>0</v>
      </c>
      <c r="O14" s="31">
        <f t="shared" si="1"/>
        <v>0</v>
      </c>
      <c r="P14" s="31">
        <f t="shared" si="1"/>
        <v>53</v>
      </c>
      <c r="Q14" s="31">
        <f t="shared" si="1"/>
        <v>130</v>
      </c>
    </row>
    <row r="16">
      <c r="A16" s="32" t="s">
        <v>137</v>
      </c>
      <c r="B16" s="33">
        <v>1680.0</v>
      </c>
      <c r="C16" s="34" t="s">
        <v>138</v>
      </c>
      <c r="D16" s="35"/>
      <c r="E16" s="36"/>
    </row>
    <row r="17">
      <c r="A17" s="37" t="s">
        <v>139</v>
      </c>
      <c r="B17" s="38">
        <v>20.0</v>
      </c>
      <c r="C17" s="39" t="s">
        <v>137</v>
      </c>
      <c r="D17" s="33">
        <v>6.0</v>
      </c>
      <c r="E17" s="40" t="s">
        <v>140</v>
      </c>
    </row>
    <row r="18">
      <c r="A18" s="32" t="s">
        <v>141</v>
      </c>
      <c r="B18" s="38">
        <f>B16/B17</f>
        <v>84</v>
      </c>
      <c r="C18" s="41"/>
      <c r="D18" s="33">
        <v>280.0</v>
      </c>
      <c r="E18" s="40" t="s">
        <v>142</v>
      </c>
    </row>
    <row r="19">
      <c r="A19" s="32" t="s">
        <v>143</v>
      </c>
      <c r="B19" s="42">
        <f>(B20*B17)/100</f>
        <v>54.74940476</v>
      </c>
      <c r="E19" s="36"/>
    </row>
    <row r="20" ht="15.75" customHeight="1">
      <c r="A20" s="32" t="s">
        <v>144</v>
      </c>
      <c r="B20" s="42">
        <f>(B31*4)+(B34*4)+(B35*9)+(B38*2)</f>
        <v>273.7470238</v>
      </c>
      <c r="E20" s="36"/>
    </row>
    <row r="21" ht="15.75" customHeight="1">
      <c r="A21" s="43" t="s">
        <v>145</v>
      </c>
      <c r="E21" s="36"/>
      <c r="J21" s="44"/>
      <c r="K21" s="44"/>
      <c r="L21" s="44"/>
      <c r="M21" s="44"/>
      <c r="N21" s="44"/>
    </row>
    <row r="22" ht="15.75" customHeight="1">
      <c r="E22" s="36"/>
    </row>
    <row r="23" ht="15.75" customHeight="1">
      <c r="A23" s="45" t="s">
        <v>146</v>
      </c>
      <c r="B23" s="46"/>
      <c r="C23" s="46"/>
      <c r="D23" s="47"/>
      <c r="E23" s="36"/>
    </row>
    <row r="24" ht="15.75" customHeight="1">
      <c r="A24" s="48"/>
      <c r="B24" s="49"/>
      <c r="C24" s="49"/>
      <c r="D24" s="50"/>
      <c r="E24" s="36"/>
    </row>
    <row r="25" ht="15.75" customHeight="1">
      <c r="A25" s="51" t="s">
        <v>147</v>
      </c>
      <c r="B25" s="52">
        <f>D18/B17</f>
        <v>14</v>
      </c>
      <c r="C25" s="53"/>
      <c r="D25" s="53"/>
      <c r="E25" s="36"/>
    </row>
    <row r="26" ht="15.75" customHeight="1">
      <c r="A26" s="53"/>
      <c r="B26" s="53"/>
      <c r="C26" s="53"/>
      <c r="D26" s="53"/>
      <c r="E26" s="24"/>
      <c r="F26" s="24"/>
      <c r="G26" s="22"/>
    </row>
    <row r="27" ht="15.75" customHeight="1">
      <c r="A27" s="54" t="s">
        <v>148</v>
      </c>
      <c r="B27" s="54" t="s">
        <v>149</v>
      </c>
      <c r="C27" s="54" t="s">
        <v>150</v>
      </c>
      <c r="D27" s="54" t="s">
        <v>151</v>
      </c>
      <c r="E27" s="22"/>
      <c r="F27" s="22"/>
      <c r="G27" s="24"/>
    </row>
    <row r="28" ht="15.75" customHeight="1">
      <c r="A28" s="41"/>
      <c r="B28" s="41"/>
      <c r="C28" s="41"/>
      <c r="D28" s="41"/>
      <c r="E28" s="24"/>
      <c r="F28" s="24"/>
    </row>
    <row r="29" ht="15.75" customHeight="1">
      <c r="A29" s="52"/>
      <c r="B29" s="52"/>
      <c r="C29" s="52"/>
      <c r="D29" s="52"/>
      <c r="E29" s="22"/>
      <c r="F29" s="22"/>
      <c r="G29" s="24"/>
    </row>
    <row r="30" ht="15.75" customHeight="1">
      <c r="A30" s="55" t="s">
        <v>152</v>
      </c>
      <c r="B30" s="56">
        <f>B20</f>
        <v>273.7470238</v>
      </c>
      <c r="C30" s="56">
        <f>B19</f>
        <v>54.74940476</v>
      </c>
      <c r="D30" s="57">
        <f t="shared" ref="D30:D31" si="2">(C30*100)/B61</f>
        <v>2.737470238</v>
      </c>
      <c r="E30" s="24"/>
      <c r="F30" s="24"/>
      <c r="G30" s="22"/>
    </row>
    <row r="31" ht="15.75" customHeight="1">
      <c r="A31" s="58" t="s">
        <v>153</v>
      </c>
      <c r="B31" s="59">
        <f>(D14*100/$B$16)</f>
        <v>65.17261905</v>
      </c>
      <c r="C31" s="56">
        <f>($B$17*D14)/$B$16</f>
        <v>13.03452381</v>
      </c>
      <c r="D31" s="57">
        <f t="shared" si="2"/>
        <v>4.34484127</v>
      </c>
      <c r="E31" s="22"/>
      <c r="F31" s="22"/>
    </row>
    <row r="32" ht="15.75" customHeight="1">
      <c r="A32" s="58" t="s">
        <v>154</v>
      </c>
      <c r="B32" s="59">
        <f>(D14*100/$B$16)</f>
        <v>65.17261905</v>
      </c>
      <c r="C32" s="56">
        <f>($B$17*E14)/$B$16</f>
        <v>12.42619048</v>
      </c>
      <c r="D32" s="60"/>
      <c r="E32" s="24"/>
      <c r="F32" s="24"/>
    </row>
    <row r="33" ht="15.75" customHeight="1">
      <c r="A33" s="58" t="s">
        <v>155</v>
      </c>
      <c r="B33" s="59">
        <f>(F14*100/$B$16)</f>
        <v>59.22619048</v>
      </c>
      <c r="C33" s="56">
        <f>($B$17*F14)/$B$16</f>
        <v>11.8452381</v>
      </c>
      <c r="D33" s="57">
        <f>(C33*100)/B63</f>
        <v>23.69047619</v>
      </c>
      <c r="E33" s="22"/>
      <c r="F33" s="22"/>
    </row>
    <row r="34" ht="15.75" customHeight="1">
      <c r="A34" s="58" t="s">
        <v>156</v>
      </c>
      <c r="B34" s="59">
        <f>(G14*100/$B$16)</f>
        <v>1.023809524</v>
      </c>
      <c r="C34" s="56">
        <f>IF(G14 &gt; 0.5, 0, ($B$17 * G14) / $B$16)
</f>
        <v>0</v>
      </c>
      <c r="D34" s="57">
        <f>(C34*100)/B65</f>
        <v>0</v>
      </c>
    </row>
    <row r="35" ht="15.75" customHeight="1">
      <c r="A35" s="58" t="s">
        <v>157</v>
      </c>
      <c r="B35" s="59">
        <f>(H14*100/$B$16)</f>
        <v>0.2946428571</v>
      </c>
      <c r="C35" s="56">
        <f>($B$17*H14)/$B$16</f>
        <v>0.05892857143</v>
      </c>
      <c r="D35" s="57">
        <f>(C35*100)/B65</f>
        <v>0.09065934066</v>
      </c>
    </row>
    <row r="36" ht="15.75" customHeight="1">
      <c r="A36" s="58" t="s">
        <v>158</v>
      </c>
      <c r="B36" s="59">
        <f>(I14*100/$B$16)</f>
        <v>0.005952380952</v>
      </c>
      <c r="C36" s="56">
        <f>($B$17*I14)/$B$16</f>
        <v>0.00119047619</v>
      </c>
      <c r="D36" s="57">
        <f>(C36*100)/B67</f>
        <v>0.05952380952</v>
      </c>
    </row>
    <row r="37" ht="15.75" customHeight="1">
      <c r="A37" s="58" t="s">
        <v>159</v>
      </c>
      <c r="B37" s="59">
        <f>(J14*100/$B$16)</f>
        <v>0</v>
      </c>
      <c r="C37" s="56">
        <f>($B$17*J14)/$B$16</f>
        <v>0</v>
      </c>
      <c r="D37" s="57">
        <f>(C37*100)/B67</f>
        <v>0</v>
      </c>
    </row>
    <row r="38" ht="15.75" customHeight="1">
      <c r="A38" s="58" t="s">
        <v>160</v>
      </c>
      <c r="B38" s="59">
        <f>(P14*100/$B$16)</f>
        <v>3.154761905</v>
      </c>
      <c r="C38" s="56">
        <f>($B$17*P14)/$B$16</f>
        <v>0.630952381</v>
      </c>
      <c r="D38" s="57">
        <f t="shared" ref="D38:D39" si="3">(C38*100)/B73</f>
        <v>2.523809524</v>
      </c>
    </row>
    <row r="39" ht="15.75" customHeight="1">
      <c r="A39" s="58" t="s">
        <v>161</v>
      </c>
      <c r="B39" s="59">
        <f>(Q14*100/$B$16)</f>
        <v>7.738095238</v>
      </c>
      <c r="C39" s="56">
        <f>($B$17*Q14/$B$16)</f>
        <v>1.547619048</v>
      </c>
      <c r="D39" s="57">
        <f t="shared" si="3"/>
        <v>0.07738095238</v>
      </c>
    </row>
    <row r="40" ht="15.75" customHeight="1">
      <c r="A40" s="61" t="s">
        <v>162</v>
      </c>
    </row>
    <row r="41" ht="15.75" customHeight="1"/>
    <row r="42" ht="15.75" customHeight="1"/>
    <row r="43" ht="15.75" customHeight="1">
      <c r="A43" s="19"/>
      <c r="B43" s="19"/>
      <c r="C43" s="19"/>
      <c r="D43" s="19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62" t="s">
        <v>163</v>
      </c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8" t="s">
        <v>164</v>
      </c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63" t="s">
        <v>165</v>
      </c>
      <c r="B60" s="64" t="s">
        <v>166</v>
      </c>
      <c r="C60" s="65"/>
      <c r="D60" s="19"/>
    </row>
    <row r="61" ht="15.75" customHeight="1">
      <c r="A61" s="66" t="s">
        <v>167</v>
      </c>
      <c r="B61" s="67" t="s">
        <v>168</v>
      </c>
      <c r="C61" s="25" t="s">
        <v>169</v>
      </c>
      <c r="D61" s="68"/>
    </row>
    <row r="62" ht="15.75" customHeight="1">
      <c r="A62" s="66" t="s">
        <v>170</v>
      </c>
      <c r="B62" s="67" t="s">
        <v>171</v>
      </c>
      <c r="C62" s="25" t="s">
        <v>142</v>
      </c>
      <c r="D62" s="68"/>
    </row>
    <row r="63" ht="15.75" customHeight="1">
      <c r="A63" s="66" t="s">
        <v>172</v>
      </c>
      <c r="B63" s="67" t="s">
        <v>173</v>
      </c>
      <c r="C63" s="25" t="s">
        <v>142</v>
      </c>
      <c r="D63" s="68"/>
    </row>
    <row r="64" ht="15.75" customHeight="1">
      <c r="A64" s="66" t="s">
        <v>174</v>
      </c>
      <c r="B64" s="67" t="s">
        <v>173</v>
      </c>
      <c r="C64" s="25" t="s">
        <v>142</v>
      </c>
      <c r="D64" s="68"/>
    </row>
    <row r="65" ht="15.75" customHeight="1">
      <c r="A65" s="66" t="s">
        <v>175</v>
      </c>
      <c r="B65" s="67" t="s">
        <v>176</v>
      </c>
      <c r="C65" s="25" t="s">
        <v>142</v>
      </c>
      <c r="D65" s="68"/>
    </row>
    <row r="66" ht="15.75" customHeight="1">
      <c r="A66" s="66" t="s">
        <v>177</v>
      </c>
      <c r="B66" s="67" t="s">
        <v>178</v>
      </c>
      <c r="C66" s="25" t="s">
        <v>142</v>
      </c>
      <c r="D66" s="68"/>
    </row>
    <row r="67" ht="15.75" customHeight="1">
      <c r="A67" s="66" t="s">
        <v>179</v>
      </c>
      <c r="B67" s="67">
        <v>2.0</v>
      </c>
      <c r="C67" s="25" t="s">
        <v>142</v>
      </c>
      <c r="D67" s="68"/>
    </row>
    <row r="68" ht="15.75" customHeight="1">
      <c r="A68" s="66" t="s">
        <v>180</v>
      </c>
      <c r="B68" s="67" t="s">
        <v>178</v>
      </c>
      <c r="C68" s="25" t="s">
        <v>142</v>
      </c>
      <c r="D68" s="68"/>
    </row>
    <row r="69" ht="15.75" customHeight="1">
      <c r="A69" s="66" t="s">
        <v>181</v>
      </c>
      <c r="B69" s="67" t="s">
        <v>178</v>
      </c>
      <c r="C69" s="25" t="s">
        <v>142</v>
      </c>
      <c r="D69" s="68"/>
    </row>
    <row r="70" ht="15.75" customHeight="1">
      <c r="A70" s="66" t="s">
        <v>182</v>
      </c>
      <c r="B70" s="67" t="s">
        <v>183</v>
      </c>
      <c r="C70" s="25" t="s">
        <v>142</v>
      </c>
      <c r="D70" s="68"/>
    </row>
    <row r="71" ht="15.75" customHeight="1">
      <c r="A71" s="66" t="s">
        <v>184</v>
      </c>
      <c r="B71" s="67" t="s">
        <v>185</v>
      </c>
      <c r="C71" s="25" t="s">
        <v>186</v>
      </c>
      <c r="D71" s="68"/>
    </row>
    <row r="72" ht="15.75" customHeight="1">
      <c r="A72" s="66" t="s">
        <v>187</v>
      </c>
      <c r="B72" s="67" t="s">
        <v>171</v>
      </c>
      <c r="C72" s="25" t="s">
        <v>186</v>
      </c>
      <c r="D72" s="68"/>
    </row>
    <row r="73" ht="15.75" customHeight="1">
      <c r="A73" s="66" t="s">
        <v>188</v>
      </c>
      <c r="B73" s="67" t="s">
        <v>189</v>
      </c>
      <c r="C73" s="25" t="s">
        <v>142</v>
      </c>
      <c r="D73" s="68"/>
    </row>
    <row r="74" ht="15.75" customHeight="1">
      <c r="A74" s="66" t="s">
        <v>190</v>
      </c>
      <c r="B74" s="67" t="s">
        <v>168</v>
      </c>
      <c r="C74" s="25" t="s">
        <v>186</v>
      </c>
      <c r="D74" s="68"/>
    </row>
    <row r="75" ht="15.75" customHeight="1">
      <c r="A75" s="66" t="s">
        <v>191</v>
      </c>
      <c r="B75" s="67" t="s">
        <v>192</v>
      </c>
      <c r="C75" s="25" t="s">
        <v>186</v>
      </c>
      <c r="D75" s="68"/>
    </row>
    <row r="76" ht="15.75" customHeight="1">
      <c r="A76" s="66" t="s">
        <v>193</v>
      </c>
      <c r="B76" s="67" t="s">
        <v>194</v>
      </c>
      <c r="C76" s="25" t="s">
        <v>186</v>
      </c>
      <c r="D76" s="68"/>
    </row>
    <row r="77" ht="15.75" customHeight="1">
      <c r="A77" s="66" t="s">
        <v>195</v>
      </c>
      <c r="B77" s="67" t="s">
        <v>194</v>
      </c>
      <c r="C77" s="25" t="s">
        <v>186</v>
      </c>
      <c r="D77" s="68"/>
    </row>
    <row r="78" ht="15.75" customHeight="1">
      <c r="A78" s="66" t="s">
        <v>196</v>
      </c>
      <c r="B78" s="67" t="s">
        <v>197</v>
      </c>
      <c r="C78" s="25" t="s">
        <v>186</v>
      </c>
      <c r="D78" s="68"/>
    </row>
    <row r="79" ht="15.75" customHeight="1">
      <c r="A79" s="66" t="s">
        <v>198</v>
      </c>
      <c r="B79" s="67" t="s">
        <v>199</v>
      </c>
      <c r="C79" s="25" t="s">
        <v>186</v>
      </c>
      <c r="D79" s="68"/>
    </row>
    <row r="80" ht="15.75" customHeight="1">
      <c r="A80" s="66" t="s">
        <v>200</v>
      </c>
      <c r="B80" s="67">
        <v>1.2</v>
      </c>
      <c r="C80" s="25" t="s">
        <v>186</v>
      </c>
      <c r="D80" s="68"/>
    </row>
    <row r="81" ht="15.75" customHeight="1">
      <c r="A81" s="66" t="s">
        <v>201</v>
      </c>
      <c r="B81" s="67">
        <v>1.2</v>
      </c>
      <c r="C81" s="25" t="s">
        <v>186</v>
      </c>
      <c r="D81" s="68"/>
    </row>
    <row r="82" ht="15.75" customHeight="1">
      <c r="A82" s="66" t="s">
        <v>202</v>
      </c>
      <c r="B82" s="67" t="s">
        <v>194</v>
      </c>
      <c r="C82" s="25" t="s">
        <v>186</v>
      </c>
      <c r="D82" s="68"/>
    </row>
    <row r="83" ht="15.75" customHeight="1">
      <c r="A83" s="66" t="s">
        <v>203</v>
      </c>
      <c r="B83" s="67">
        <v>1.3</v>
      </c>
      <c r="C83" s="25" t="s">
        <v>186</v>
      </c>
      <c r="D83" s="68"/>
    </row>
    <row r="84" ht="15.75" customHeight="1">
      <c r="A84" s="66" t="s">
        <v>204</v>
      </c>
      <c r="B84" s="67" t="s">
        <v>205</v>
      </c>
      <c r="C84" s="25" t="s">
        <v>186</v>
      </c>
      <c r="D84" s="68"/>
    </row>
    <row r="85" ht="15.75" customHeight="1">
      <c r="A85" s="66" t="s">
        <v>206</v>
      </c>
      <c r="B85" s="67" t="s">
        <v>207</v>
      </c>
      <c r="C85" s="25" t="s">
        <v>186</v>
      </c>
      <c r="D85" s="68"/>
    </row>
    <row r="86" ht="15.75" customHeight="1">
      <c r="A86" s="66" t="s">
        <v>208</v>
      </c>
      <c r="B86" s="67">
        <v>5.0</v>
      </c>
      <c r="C86" s="25" t="s">
        <v>186</v>
      </c>
      <c r="D86" s="68"/>
    </row>
    <row r="87" ht="15.75" customHeight="1">
      <c r="A87" s="66" t="s">
        <v>209</v>
      </c>
      <c r="B87" s="67">
        <v>2.4</v>
      </c>
      <c r="C87" s="25" t="s">
        <v>186</v>
      </c>
      <c r="D87" s="68"/>
    </row>
    <row r="88" ht="15.75" customHeight="1">
      <c r="A88" s="66" t="s">
        <v>210</v>
      </c>
      <c r="B88" s="67" t="s">
        <v>211</v>
      </c>
      <c r="C88" s="25" t="s">
        <v>186</v>
      </c>
      <c r="D88" s="68"/>
    </row>
    <row r="89" ht="15.75" customHeight="1">
      <c r="A89" s="66" t="s">
        <v>212</v>
      </c>
      <c r="B89" s="67" t="s">
        <v>213</v>
      </c>
      <c r="C89" s="25" t="s">
        <v>186</v>
      </c>
      <c r="D89" s="68"/>
    </row>
    <row r="90" ht="15.75" customHeight="1">
      <c r="A90" s="66" t="s">
        <v>214</v>
      </c>
      <c r="B90" s="67" t="s">
        <v>215</v>
      </c>
      <c r="C90" s="25" t="s">
        <v>186</v>
      </c>
      <c r="D90" s="68"/>
    </row>
    <row r="91" ht="15.75" customHeight="1">
      <c r="A91" s="66" t="s">
        <v>216</v>
      </c>
      <c r="B91" s="67" t="s">
        <v>217</v>
      </c>
      <c r="C91" s="25" t="s">
        <v>186</v>
      </c>
      <c r="D91" s="68"/>
    </row>
    <row r="92" ht="15.75" customHeight="1">
      <c r="A92" s="66" t="s">
        <v>218</v>
      </c>
      <c r="B92" s="67" t="s">
        <v>219</v>
      </c>
      <c r="C92" s="25" t="s">
        <v>186</v>
      </c>
      <c r="D92" s="68"/>
    </row>
    <row r="93" ht="15.75" customHeight="1">
      <c r="A93" s="66" t="s">
        <v>220</v>
      </c>
      <c r="B93" s="67">
        <v>4.0</v>
      </c>
      <c r="C93" s="25" t="s">
        <v>186</v>
      </c>
      <c r="D93" s="68"/>
    </row>
    <row r="94" ht="15.75" customHeight="1">
      <c r="A94" s="66" t="s">
        <v>221</v>
      </c>
      <c r="B94" s="67" t="s">
        <v>222</v>
      </c>
      <c r="C94" s="25" t="s">
        <v>186</v>
      </c>
      <c r="D94" s="68"/>
    </row>
    <row r="95" ht="15.75" customHeight="1">
      <c r="A95" s="66" t="s">
        <v>223</v>
      </c>
      <c r="B95" s="67" t="s">
        <v>224</v>
      </c>
      <c r="C95" s="25" t="s">
        <v>186</v>
      </c>
      <c r="D95" s="68"/>
    </row>
    <row r="96" ht="15.75" customHeight="1">
      <c r="A96" s="66" t="s">
        <v>225</v>
      </c>
      <c r="B96" s="67" t="s">
        <v>226</v>
      </c>
      <c r="C96" s="25" t="s">
        <v>186</v>
      </c>
      <c r="D96" s="68"/>
    </row>
    <row r="97" ht="15.75" customHeight="1">
      <c r="A97" s="66" t="s">
        <v>227</v>
      </c>
      <c r="B97" s="67">
        <v>3.0</v>
      </c>
      <c r="C97" s="25" t="s">
        <v>186</v>
      </c>
      <c r="D97" s="68"/>
    </row>
    <row r="98" ht="15.75" customHeight="1">
      <c r="A98" s="66" t="s">
        <v>228</v>
      </c>
      <c r="B98" s="67" t="s">
        <v>229</v>
      </c>
      <c r="C98" s="25" t="s">
        <v>186</v>
      </c>
      <c r="D98" s="68"/>
    </row>
    <row r="99" ht="15.75" customHeight="1">
      <c r="A99" s="66" t="s">
        <v>230</v>
      </c>
      <c r="B99" s="67" t="s">
        <v>231</v>
      </c>
      <c r="C99" s="25" t="s">
        <v>186</v>
      </c>
      <c r="D99" s="68"/>
    </row>
    <row r="100" ht="15.75" customHeight="1">
      <c r="A100" s="66" t="s">
        <v>232</v>
      </c>
      <c r="B100" s="67" t="s">
        <v>233</v>
      </c>
      <c r="C100" s="25" t="s">
        <v>186</v>
      </c>
      <c r="D100" s="68"/>
    </row>
    <row r="101" ht="15.75" customHeight="1">
      <c r="A101" s="66" t="s">
        <v>234</v>
      </c>
      <c r="B101" s="67" t="s">
        <v>235</v>
      </c>
      <c r="C101" s="25" t="s">
        <v>186</v>
      </c>
      <c r="D101" s="68"/>
    </row>
    <row r="102" ht="15.75" customHeight="1">
      <c r="A102" s="69" t="s">
        <v>236</v>
      </c>
      <c r="B102" s="70" t="s">
        <v>237</v>
      </c>
      <c r="C102" s="71" t="s">
        <v>186</v>
      </c>
      <c r="D102" s="68"/>
    </row>
    <row r="103" ht="15.75" customHeight="1">
      <c r="C103" s="19"/>
      <c r="D103" s="19"/>
    </row>
    <row r="104" ht="15.75" customHeight="1">
      <c r="C104" s="19"/>
      <c r="D104" s="19"/>
    </row>
    <row r="105" ht="15.75" customHeight="1">
      <c r="C105" s="19"/>
      <c r="D105" s="19"/>
    </row>
    <row r="106" ht="15.75" customHeight="1">
      <c r="C106" s="19"/>
      <c r="D106" s="19"/>
    </row>
    <row r="107" ht="15.75" customHeight="1">
      <c r="C107" s="19"/>
      <c r="D107" s="19"/>
    </row>
    <row r="108" ht="15.75" customHeight="1">
      <c r="C108" s="19"/>
      <c r="D108" s="19"/>
    </row>
    <row r="109" ht="15.75" customHeight="1">
      <c r="C109" s="19"/>
      <c r="D109" s="19"/>
    </row>
    <row r="110" ht="15.75" customHeight="1">
      <c r="C110" s="19"/>
      <c r="D110" s="19"/>
    </row>
    <row r="111" ht="15.75" customHeight="1">
      <c r="C111" s="19"/>
      <c r="D111" s="19"/>
    </row>
    <row r="112" ht="15.75" customHeight="1">
      <c r="C112" s="19"/>
      <c r="D112" s="19"/>
    </row>
    <row r="113" ht="15.75" customHeight="1">
      <c r="C113" s="19"/>
      <c r="D113" s="19"/>
    </row>
    <row r="114" ht="15.75" customHeight="1">
      <c r="C114" s="19"/>
      <c r="D114" s="19"/>
    </row>
    <row r="115" ht="15.75" customHeight="1">
      <c r="C115" s="19"/>
      <c r="D115" s="19"/>
    </row>
    <row r="116" ht="15.75" customHeight="1">
      <c r="C116" s="19"/>
      <c r="D116" s="19"/>
    </row>
    <row r="117" ht="15.75" customHeight="1">
      <c r="C117" s="19"/>
      <c r="D117" s="19"/>
    </row>
    <row r="118" ht="15.75" customHeight="1">
      <c r="C118" s="19"/>
      <c r="D118" s="19"/>
    </row>
    <row r="119" ht="15.75" customHeight="1">
      <c r="C119" s="19"/>
      <c r="D119" s="19"/>
    </row>
    <row r="120" ht="15.75" customHeight="1"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</sheetData>
  <mergeCells count="10">
    <mergeCell ref="D27:D28"/>
    <mergeCell ref="A40:D42"/>
    <mergeCell ref="A55:E55"/>
    <mergeCell ref="C16:D16"/>
    <mergeCell ref="C17:C18"/>
    <mergeCell ref="A21:D22"/>
    <mergeCell ref="A23:D24"/>
    <mergeCell ref="A27:A28"/>
    <mergeCell ref="B27:B28"/>
    <mergeCell ref="C27:C28"/>
  </mergeCells>
  <printOptions/>
  <pageMargins bottom="1.0" footer="0.0" header="0.0" left="0.75" right="0.75" top="1.0"/>
  <pageSetup orientation="landscape"/>
  <drawing r:id="rId4"/>
  <legacyDrawing r:id="rId5"/>
</worksheet>
</file>